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listoor/Desktop/"/>
    </mc:Choice>
  </mc:AlternateContent>
  <xr:revisionPtr revIDLastSave="0" documentId="8_{2FFD25FF-25C3-E645-9E81-29DB6884B496}" xr6:coauthVersionLast="47" xr6:coauthVersionMax="47" xr10:uidLastSave="{00000000-0000-0000-0000-000000000000}"/>
  <bookViews>
    <workbookView xWindow="0" yWindow="600" windowWidth="28800" windowHeight="15840" xr2:uid="{00000000-000D-0000-FFFF-FFFF00000000}"/>
  </bookViews>
  <sheets>
    <sheet name="Szczegółowe" sheetId="25" r:id="rId1"/>
  </sheets>
  <externalReferences>
    <externalReference r:id="rId2"/>
    <externalReference r:id="rId3"/>
  </externalReferences>
  <definedNames>
    <definedName name="_FilterDatabase" localSheetId="0" hidden="1">Szczegółowe!#REF!</definedName>
    <definedName name="_xlnm._FilterDatabase" localSheetId="0" hidden="1">Szczegółowe!$F$1:$F$313</definedName>
    <definedName name="anchor_1">#REF!</definedName>
    <definedName name="anchor_2">#REF!</definedName>
    <definedName name="anchor_3">#REF!</definedName>
    <definedName name="anchor_4">#REF!</definedName>
    <definedName name="anchor_5">#REF!</definedName>
    <definedName name="anchor_6">#REF!</definedName>
    <definedName name="anchor_7">#REF!</definedName>
    <definedName name="anchor_8">#REF!</definedName>
    <definedName name="dataWersji">#REF!</definedName>
    <definedName name="Koordynacja">'[1]03 work'!$B$44</definedName>
    <definedName name="Koordynacja2">'[1]03 work'!$B$44:$E$44</definedName>
    <definedName name="KoordynacjaWartość">'[1]03 work'!$F$44</definedName>
    <definedName name="KoordynacjaWartość2">[1]SUMA!$D$26</definedName>
    <definedName name="kosztorysanci">'[1]02 work'!$T$6:$T$23</definedName>
    <definedName name="KP_M_NEO">'[1]03 work'!$C$73</definedName>
    <definedName name="KP_NEO">'[1]03 work'!$C$71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pomocnicze">'[1]03 work'!$C$3</definedName>
    <definedName name="m_robocizna">'[1]03 work'!$C$2</definedName>
    <definedName name="managerowie">'[1]02 work'!$T$26:$T$33</definedName>
    <definedName name="Marze">[1]!MarzeKonfiguracja[#Data]</definedName>
    <definedName name="NOCNE">'[1]03 work'!$C$74</definedName>
    <definedName name="_xlnm.Print_Area" localSheetId="0">Szczegółowe!$A$1:$H$74</definedName>
    <definedName name="po_de">[2]demontaże!$BO$11</definedName>
    <definedName name="po_el">[2]EL!$BO$9</definedName>
    <definedName name="po_is">[2]IS!$BO$9</definedName>
    <definedName name="po_np">[2]NP!$BO$12</definedName>
    <definedName name="po_po">[2]podłogi!$BO$9</definedName>
    <definedName name="po_poz">[2]pozostałe!$BO$9</definedName>
    <definedName name="po_pr">[2]projekty!$BO$9</definedName>
    <definedName name="po_st">[2]stolarka!$BO$11</definedName>
    <definedName name="po_su">[2]sufity!$BO$9</definedName>
    <definedName name="po_śc">[2]ściany!$BO$11</definedName>
    <definedName name="Print_Area" localSheetId="0">Szczegółowe!$A$1:$G$72</definedName>
    <definedName name="przed_de">[2]demontaże!$BN$11</definedName>
    <definedName name="przed_el">[2]EL!$BN$9</definedName>
    <definedName name="przed_is">[2]IS!$BN$9</definedName>
    <definedName name="przed_np">[2]NP!$BN$12</definedName>
    <definedName name="przed_po">[2]podłogi!$BN$9</definedName>
    <definedName name="przed_poz">[2]pozostałe!$BN$9</definedName>
    <definedName name="przed_pr">[2]projekty!$BN$9</definedName>
    <definedName name="przed_st">[2]stolarka!$BN$11</definedName>
    <definedName name="przed_su">[2]sufity!$BN$9</definedName>
    <definedName name="przed_śc">[2]ściany!$BN$11</definedName>
    <definedName name="słowaKluczowe">#REF!</definedName>
    <definedName name="suma">#REF!</definedName>
    <definedName name="Systemy">[1]!SystemyZabudowy[System]</definedName>
    <definedName name="Systemy_GK">#REF!</definedName>
    <definedName name="wykonawcy">'[1]03 work'!$B$9:$B$42</definedName>
    <definedName name="wykonawcy2">'[1]03 work'!$B$9:$E$42</definedName>
    <definedName name="WykonawcyListaZrodlo">'[1]03 work'!$B$9:$B$44</definedName>
    <definedName name="ZYSK_NEO">'[1]03 work'!$C$72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25" l="1"/>
  <c r="F51" i="25"/>
  <c r="F66" i="25"/>
  <c r="F65" i="25"/>
  <c r="F19" i="25"/>
  <c r="F24" i="25"/>
  <c r="F25" i="25"/>
  <c r="F26" i="25"/>
  <c r="F29" i="25"/>
  <c r="F36" i="25"/>
  <c r="F37" i="25"/>
  <c r="F64" i="25"/>
  <c r="F69" i="25"/>
  <c r="F68" i="25"/>
  <c r="C30" i="25"/>
  <c r="F30" i="25" s="1"/>
  <c r="F60" i="25"/>
  <c r="F61" i="25"/>
  <c r="F62" i="25"/>
  <c r="F63" i="25"/>
  <c r="F56" i="25"/>
  <c r="F57" i="25"/>
  <c r="F58" i="25"/>
  <c r="F59" i="25"/>
  <c r="C55" i="25"/>
  <c r="F50" i="25"/>
  <c r="F46" i="25"/>
  <c r="F47" i="25"/>
  <c r="F48" i="25"/>
  <c r="F49" i="25"/>
  <c r="F43" i="25"/>
  <c r="C35" i="25"/>
  <c r="F35" i="25" s="1"/>
  <c r="C34" i="25"/>
  <c r="F34" i="25" s="1"/>
  <c r="C33" i="25"/>
  <c r="F33" i="25" s="1"/>
  <c r="C32" i="25"/>
  <c r="C27" i="25"/>
  <c r="F27" i="25" s="1"/>
  <c r="C28" i="25"/>
  <c r="F28" i="25" s="1"/>
  <c r="C23" i="25"/>
  <c r="F23" i="25" s="1"/>
  <c r="C22" i="25"/>
  <c r="F22" i="25" s="1"/>
  <c r="C21" i="25"/>
  <c r="F21" i="25" s="1"/>
  <c r="C18" i="25"/>
  <c r="C20" i="25"/>
  <c r="F20" i="25" s="1"/>
  <c r="F32" i="25" l="1"/>
  <c r="C31" i="25"/>
  <c r="F31" i="25" s="1"/>
  <c r="F41" i="25"/>
  <c r="F45" i="25" l="1"/>
  <c r="F55" i="25"/>
  <c r="F54" i="25"/>
  <c r="F42" i="25" l="1"/>
  <c r="F39" i="25"/>
  <c r="F40" i="25"/>
  <c r="F18" i="25"/>
  <c r="E71" i="25" l="1"/>
  <c r="F71" i="25" s="1"/>
  <c r="F72" i="25" l="1"/>
  <c r="F73" i="25"/>
  <c r="F12" i="25"/>
</calcChain>
</file>

<file path=xl/sharedStrings.xml><?xml version="1.0" encoding="utf-8"?>
<sst xmlns="http://schemas.openxmlformats.org/spreadsheetml/2006/main" count="187" uniqueCount="142">
  <si>
    <t>A.1.</t>
  </si>
  <si>
    <t>B.1</t>
  </si>
  <si>
    <t>B.3</t>
  </si>
  <si>
    <t>B.4</t>
  </si>
  <si>
    <t>[PLN]</t>
  </si>
  <si>
    <t>B1.1</t>
  </si>
  <si>
    <t>B1.2</t>
  </si>
  <si>
    <t>B1.3</t>
  </si>
  <si>
    <t>B1.4</t>
  </si>
  <si>
    <t>B1.5</t>
  </si>
  <si>
    <t>B3.1</t>
  </si>
  <si>
    <t>B3.2</t>
  </si>
  <si>
    <t>B3.3</t>
  </si>
  <si>
    <t>B3.4</t>
  </si>
  <si>
    <t>B4.1</t>
  </si>
  <si>
    <t>B4.2</t>
  </si>
  <si>
    <t>B4.3</t>
  </si>
  <si>
    <t>B4.4</t>
  </si>
  <si>
    <t>B4.5</t>
  </si>
  <si>
    <t>A.1.1</t>
  </si>
  <si>
    <t>A.1.3</t>
  </si>
  <si>
    <t>A.1.4</t>
  </si>
  <si>
    <t>A.1.5</t>
  </si>
  <si>
    <t>A.1.6</t>
  </si>
  <si>
    <t>A.1.7</t>
  </si>
  <si>
    <t>A.1.8</t>
  </si>
  <si>
    <t>A.1.9</t>
  </si>
  <si>
    <t>A.1.10</t>
  </si>
  <si>
    <t>A.1.11</t>
  </si>
  <si>
    <t>A.1.2</t>
  </si>
  <si>
    <t>m2</t>
  </si>
  <si>
    <t>mb</t>
  </si>
  <si>
    <t>kpl</t>
  </si>
  <si>
    <t>Klient:</t>
  </si>
  <si>
    <t>Budynek:</t>
  </si>
  <si>
    <t>Projekt:</t>
  </si>
  <si>
    <t>Obszar [m2] netto:</t>
  </si>
  <si>
    <t>Obszar [m2] brutto:</t>
  </si>
  <si>
    <t>Kurs EURO</t>
  </si>
  <si>
    <t>Budowa całkowita (koszty twarde + miękkie)</t>
  </si>
  <si>
    <t>KOSZTY 
[PLN]</t>
  </si>
  <si>
    <t>Cena jednostkowa</t>
  </si>
  <si>
    <t>Oszacowanie budżetu na dzień</t>
  </si>
  <si>
    <t>Nr</t>
  </si>
  <si>
    <t>ZAKRES PRAC</t>
  </si>
  <si>
    <t>Ilość</t>
  </si>
  <si>
    <t>Jednostka miary</t>
  </si>
  <si>
    <t>KOMENTARZ</t>
  </si>
  <si>
    <t>Ścianka gk</t>
  </si>
  <si>
    <t>Ścianka rozsuwana modułowa 4x70x240/260</t>
  </si>
  <si>
    <t xml:space="preserve">Nadproże pod ściankę rozsuwanną </t>
  </si>
  <si>
    <t>Sufit GK</t>
  </si>
  <si>
    <t xml:space="preserve">Dobudowa lekka w toalecie </t>
  </si>
  <si>
    <t xml:space="preserve">Hydroizolacja </t>
  </si>
  <si>
    <t>PŁYTKA GRESOWA 60x60 CM - PARADYŻ U117 (Ennis) Light Grey Gres Szkl. Rekt. Półpoler 59,8x59,8</t>
  </si>
  <si>
    <t>PŁYTKA GRESOWA DREWNOPOODBNA 10x60 - PARADYŻ FREELAND GOLD</t>
  </si>
  <si>
    <t>PANEL LAMINOWANY Quick-Step Capture Dąb szczotkowany naturalny ciepły SIG4762</t>
  </si>
  <si>
    <t>Płytki ścienne w łazience</t>
  </si>
  <si>
    <t>A.1.12</t>
  </si>
  <si>
    <t>A.1.13</t>
  </si>
  <si>
    <t>A.1.14</t>
  </si>
  <si>
    <t>A.1.15</t>
  </si>
  <si>
    <t>A.1.16</t>
  </si>
  <si>
    <t xml:space="preserve">Prace budowlane </t>
  </si>
  <si>
    <t xml:space="preserve">Fartuch przy aneksach kuchennych </t>
  </si>
  <si>
    <t xml:space="preserve">Biały montaż </t>
  </si>
  <si>
    <t xml:space="preserve">Prace stolarskie i wyposażenie </t>
  </si>
  <si>
    <t>Drzwi do toalet z podcięciem wentylacyjnym</t>
  </si>
  <si>
    <t>Szpachlowanie i malowanie sufitu</t>
  </si>
  <si>
    <t xml:space="preserve">Tapety </t>
  </si>
  <si>
    <t xml:space="preserve">Beton architektoniczny </t>
  </si>
  <si>
    <t xml:space="preserve">Malowanie na antracyt </t>
  </si>
  <si>
    <t xml:space="preserve">Malowanie na kolor jasny beż </t>
  </si>
  <si>
    <t>A.1.17</t>
  </si>
  <si>
    <t>A.1.18</t>
  </si>
  <si>
    <t>A.1.19</t>
  </si>
  <si>
    <t>A.1.20</t>
  </si>
  <si>
    <t xml:space="preserve">Cokoly </t>
  </si>
  <si>
    <t>Szpachowanie ścian</t>
  </si>
  <si>
    <t>Ścianka ażurowa (kantówki)</t>
  </si>
  <si>
    <t xml:space="preserve">szt </t>
  </si>
  <si>
    <t xml:space="preserve">Prace elektryczne - nowe wypusty </t>
  </si>
  <si>
    <t xml:space="preserve">Gniazdo wtykowe </t>
  </si>
  <si>
    <t xml:space="preserve">Oświetlenie górne </t>
  </si>
  <si>
    <t>Oświetlenie punktowe</t>
  </si>
  <si>
    <t xml:space="preserve">Przełącznik pojedynczy </t>
  </si>
  <si>
    <t>Wyprowadzenie dla klimatyzatora</t>
  </si>
  <si>
    <t xml:space="preserve">Zestaw podtynkowy H=112, np Cersanit Millie Opti wraz z zabudową </t>
  </si>
  <si>
    <t>B3.5</t>
  </si>
  <si>
    <t>B3.6</t>
  </si>
  <si>
    <t>Roca Terran brodzik 100x80 cm prostokątny kompozyt Stonex szary łupek</t>
  </si>
  <si>
    <t>Roca Terran brodzik 80x80 cm prostokątny kompozyt Stonex szary łupek</t>
  </si>
  <si>
    <t>Bateria prysznicowa natynkowa z deszczownicą</t>
  </si>
  <si>
    <t>Ręcznikowiec typu Terma Zig-Zag 85 x 60 w kolorze czarnym</t>
  </si>
  <si>
    <t>Szafka nablatowa według odrębnego rysunku z baterią oraz umywalką nablatową (typu NP Cersanit Crea 50 x 35 / LaVita Canal 40 x 30 / Deante Peonia 50 x 30 CDE6U5S</t>
  </si>
  <si>
    <t xml:space="preserve">Anek kuchenny </t>
  </si>
  <si>
    <t>Szafa ubraniowa na pełną wysokość</t>
  </si>
  <si>
    <t>B4.6</t>
  </si>
  <si>
    <t>B4.7</t>
  </si>
  <si>
    <t>B4.8</t>
  </si>
  <si>
    <t>Stół</t>
  </si>
  <si>
    <t>Krzesła</t>
  </si>
  <si>
    <t xml:space="preserve">Kanapa </t>
  </si>
  <si>
    <t>TV</t>
  </si>
  <si>
    <t>B4.9</t>
  </si>
  <si>
    <t>B4.10</t>
  </si>
  <si>
    <t>Lodówka</t>
  </si>
  <si>
    <t>Zmywarka</t>
  </si>
  <si>
    <t>Zlewozmywak z baterią</t>
  </si>
  <si>
    <t xml:space="preserve">Płyta + piekarnik + okap </t>
  </si>
  <si>
    <t>Razem:</t>
  </si>
  <si>
    <t>Za m2</t>
  </si>
  <si>
    <t>Materiał przyjęty do oferty: Jeger Loft Beton</t>
  </si>
  <si>
    <t>Prace pomocnicze</t>
  </si>
  <si>
    <t>B.5</t>
  </si>
  <si>
    <t>B5.1</t>
  </si>
  <si>
    <t>B5.2</t>
  </si>
  <si>
    <t xml:space="preserve">Kontener na odpady </t>
  </si>
  <si>
    <t xml:space="preserve">Zabezpieczenia </t>
  </si>
  <si>
    <t>B3.7</t>
  </si>
  <si>
    <t>Klimatyzator</t>
  </si>
  <si>
    <t>B4.11</t>
  </si>
  <si>
    <t xml:space="preserve">Karnisz + zasłony </t>
  </si>
  <si>
    <t>Założono materiał za 140 zł/m2</t>
  </si>
  <si>
    <t>Założono materiał: płytke biała cegiełka do kwoty 120 zł/m2</t>
  </si>
  <si>
    <t xml:space="preserve">Założono listy do który 25 zł/m2 </t>
  </si>
  <si>
    <t xml:space="preserve">Kwota założona, do zweryfikowania po wyborze rozwiązania </t>
  </si>
  <si>
    <t>Założono materiał w cenie 110 zł/m2</t>
  </si>
  <si>
    <t xml:space="preserve">Kwoty szacunkowe  do zrewidowania po wybraniu konkretnego rozwiązania materiałowego </t>
  </si>
  <si>
    <t>B4.12</t>
  </si>
  <si>
    <t xml:space="preserve">Założono wyprowadzenie i montaż pod lampe w kwocie do 700 zł/szt </t>
  </si>
  <si>
    <t xml:space="preserve">Założono wyprowadzenie i montaż pod lampe w kwocie do 150 zł/szt </t>
  </si>
  <si>
    <t xml:space="preserve">Łóżko </t>
  </si>
  <si>
    <t>B4.13</t>
  </si>
  <si>
    <t>Elementy dekoracyjne i małe AGD (lustra, oświetlenie przy lustrze, elementy wyposażenia totalety itp..)</t>
  </si>
  <si>
    <t>B3.8</t>
  </si>
  <si>
    <t xml:space="preserve">Montaż </t>
  </si>
  <si>
    <t>B.6</t>
  </si>
  <si>
    <t>Pozostałe</t>
  </si>
  <si>
    <t>B6.1</t>
  </si>
  <si>
    <t xml:space="preserve">Zapas na rzeczy nieprzewidziane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</si>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</sst>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&quot;zł&quot;_-;\-* #,##0.00\ &quot;zł&quot;_-;_-* &quot;-&quot;??\ &quot;zł&quot;_-;_-@_-"/>
    <numFmt numFmtId="165" formatCode="_-* #,##0.00_-;\-* #,##0.00_-;_-* &quot;-&quot;??_-;_-@_-"/>
    <numFmt numFmtId="166" formatCode="_-* #,##0.00\ [$zł-415]_-;\-* #,##0.00\ [$zł-415]_-;_-* &quot;-&quot;??\ [$zł-415]_-;_-@_-"/>
    <numFmt numFmtId="168" formatCode="#,##0.00_ ;\-#,##0.00\ "/>
    <numFmt numFmtId="169" formatCode="#,##0.00\ &quot;zł&quot;"/>
    <numFmt numFmtId="170" formatCode="_-* #,##0.00\ _z_ł_-;\-* #,##0.00\ _z_ł_-;_-* &quot;-&quot;??\ _z_ł_-;_-@_-"/>
    <numFmt numFmtId="172" formatCode="0\."/>
  </numFmts>
  <fonts count="2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name val="Calibri"/>
      <family val="2"/>
      <charset val="238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7"/>
      <name val="Verdana"/>
      <family val="2"/>
      <charset val="238"/>
    </font>
    <font>
      <b/>
      <sz val="5"/>
      <name val="Verdana"/>
      <family val="2"/>
      <charset val="238"/>
    </font>
    <font>
      <sz val="5"/>
      <name val="Verdana"/>
      <family val="2"/>
      <charset val="238"/>
    </font>
    <font>
      <sz val="10"/>
      <name val="Arial P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9" fontId="1" fillId="0" borderId="0" applyFont="0" applyFill="0" applyBorder="0" applyAlignment="0" applyProtection="0"/>
    <xf numFmtId="166" fontId="2" fillId="0" borderId="0"/>
    <xf numFmtId="164" fontId="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2" fillId="0" borderId="0"/>
    <xf numFmtId="17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/>
    <xf numFmtId="0" fontId="1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2" fontId="17" fillId="0" borderId="14">
      <alignment horizontal="right" vertical="center" readingOrder="1"/>
    </xf>
    <xf numFmtId="49" fontId="17" fillId="0" borderId="14">
      <alignment vertical="center" wrapText="1" readingOrder="1"/>
    </xf>
    <xf numFmtId="0" fontId="16" fillId="3" borderId="0">
      <alignment horizontal="center" vertical="center" wrapText="1" readingOrder="1"/>
    </xf>
    <xf numFmtId="0" fontId="18" fillId="0" borderId="14">
      <alignment vertical="center" wrapText="1" readingOrder="1"/>
    </xf>
    <xf numFmtId="172" fontId="19" fillId="0" borderId="15" applyFill="0" applyProtection="0">
      <alignment horizontal="center" vertical="top"/>
    </xf>
    <xf numFmtId="4" fontId="19" fillId="0" borderId="15" applyFill="0" applyProtection="0">
      <alignment vertical="top"/>
    </xf>
    <xf numFmtId="164" fontId="2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</cellStyleXfs>
  <cellXfs count="88">
    <xf numFmtId="0" fontId="0" fillId="0" borderId="0" xfId="0"/>
    <xf numFmtId="0" fontId="6" fillId="0" borderId="0" xfId="0" applyFont="1"/>
    <xf numFmtId="0" fontId="4" fillId="2" borderId="4" xfId="1" applyFont="1" applyFill="1" applyBorder="1" applyAlignment="1">
      <alignment vertical="center"/>
    </xf>
    <xf numFmtId="166" fontId="4" fillId="2" borderId="5" xfId="2" applyNumberFormat="1" applyFont="1" applyFill="1" applyBorder="1" applyAlignment="1">
      <alignment vertical="center" wrapText="1"/>
    </xf>
    <xf numFmtId="166" fontId="6" fillId="0" borderId="3" xfId="2" applyNumberFormat="1" applyFont="1" applyBorder="1" applyAlignment="1">
      <alignment horizontal="right" vertical="center" wrapText="1"/>
    </xf>
    <xf numFmtId="0" fontId="6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166" fontId="6" fillId="0" borderId="0" xfId="2" applyNumberFormat="1" applyFont="1"/>
    <xf numFmtId="0" fontId="4" fillId="2" borderId="5" xfId="1" applyFont="1" applyFill="1" applyBorder="1" applyAlignment="1">
      <alignment vertical="center"/>
    </xf>
    <xf numFmtId="169" fontId="4" fillId="2" borderId="5" xfId="1" applyNumberFormat="1" applyFont="1" applyFill="1" applyBorder="1" applyAlignment="1">
      <alignment vertical="center" wrapText="1"/>
    </xf>
    <xf numFmtId="2" fontId="4" fillId="2" borderId="5" xfId="1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 wrapText="1"/>
    </xf>
    <xf numFmtId="2" fontId="13" fillId="0" borderId="3" xfId="0" applyNumberFormat="1" applyFont="1" applyBorder="1" applyAlignment="1">
      <alignment horizontal="center" vertical="center" wrapText="1"/>
    </xf>
    <xf numFmtId="166" fontId="6" fillId="0" borderId="0" xfId="2" applyNumberFormat="1" applyFont="1" applyBorder="1"/>
    <xf numFmtId="166" fontId="6" fillId="0" borderId="0" xfId="2" applyNumberFormat="1" applyFont="1" applyBorder="1" applyAlignment="1">
      <alignment horizontal="left" vertical="top"/>
    </xf>
    <xf numFmtId="168" fontId="13" fillId="0" borderId="3" xfId="2" applyNumberFormat="1" applyFont="1" applyBorder="1" applyAlignment="1">
      <alignment horizontal="left" vertical="top" wrapText="1"/>
    </xf>
    <xf numFmtId="166" fontId="6" fillId="0" borderId="3" xfId="2" applyNumberFormat="1" applyFont="1" applyFill="1" applyBorder="1" applyAlignment="1">
      <alignment horizontal="right" vertical="center" wrapText="1"/>
    </xf>
    <xf numFmtId="169" fontId="8" fillId="0" borderId="3" xfId="0" applyNumberFormat="1" applyFont="1" applyBorder="1" applyAlignment="1">
      <alignment horizontal="center" vertical="center" wrapText="1"/>
    </xf>
    <xf numFmtId="168" fontId="13" fillId="0" borderId="3" xfId="2" applyNumberFormat="1" applyFont="1" applyFill="1" applyBorder="1" applyAlignment="1">
      <alignment horizontal="left" vertical="top" wrapText="1"/>
    </xf>
    <xf numFmtId="0" fontId="6" fillId="0" borderId="13" xfId="0" applyFont="1" applyBorder="1" applyAlignment="1">
      <alignment horizontal="left" vertical="center" wrapText="1"/>
    </xf>
    <xf numFmtId="168" fontId="15" fillId="0" borderId="3" xfId="11" applyNumberFormat="1" applyBorder="1" applyAlignment="1">
      <alignment horizontal="left" vertical="top" wrapText="1"/>
    </xf>
    <xf numFmtId="2" fontId="13" fillId="0" borderId="16" xfId="0" applyNumberFormat="1" applyFont="1" applyBorder="1" applyAlignment="1">
      <alignment horizontal="center" vertical="center" wrapText="1"/>
    </xf>
    <xf numFmtId="169" fontId="8" fillId="0" borderId="16" xfId="0" applyNumberFormat="1" applyFont="1" applyBorder="1" applyAlignment="1">
      <alignment horizontal="center" vertical="center" wrapText="1"/>
    </xf>
    <xf numFmtId="168" fontId="14" fillId="2" borderId="12" xfId="2" applyNumberFormat="1" applyFont="1" applyFill="1" applyBorder="1" applyAlignment="1">
      <alignment horizontal="left" vertical="top" wrapText="1"/>
    </xf>
    <xf numFmtId="0" fontId="6" fillId="0" borderId="10" xfId="0" applyFont="1" applyBorder="1"/>
    <xf numFmtId="0" fontId="5" fillId="0" borderId="5" xfId="1" applyFont="1" applyBorder="1" applyAlignment="1">
      <alignment horizontal="center" vertical="center" wrapText="1"/>
    </xf>
    <xf numFmtId="166" fontId="5" fillId="0" borderId="5" xfId="2" applyNumberFormat="1" applyFont="1" applyBorder="1" applyAlignment="1">
      <alignment horizontal="center" vertical="center" wrapText="1"/>
    </xf>
    <xf numFmtId="168" fontId="13" fillId="0" borderId="3" xfId="2" applyNumberFormat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166" fontId="12" fillId="0" borderId="12" xfId="2" applyNumberFormat="1" applyFont="1" applyBorder="1" applyAlignment="1">
      <alignment horizontal="left" vertical="top" wrapText="1"/>
    </xf>
    <xf numFmtId="164" fontId="20" fillId="0" borderId="0" xfId="12" applyFont="1" applyAlignment="1">
      <alignment horizontal="center" vertical="center"/>
    </xf>
    <xf numFmtId="0" fontId="21" fillId="5" borderId="8" xfId="1" applyFont="1" applyFill="1" applyBorder="1" applyAlignment="1">
      <alignment horizontal="left" vertical="top" wrapText="1"/>
    </xf>
    <xf numFmtId="0" fontId="21" fillId="5" borderId="9" xfId="1" applyFont="1" applyFill="1" applyBorder="1" applyAlignment="1">
      <alignment horizontal="center" vertical="center" wrapText="1"/>
    </xf>
    <xf numFmtId="0" fontId="21" fillId="5" borderId="0" xfId="1" applyFont="1" applyFill="1" applyAlignment="1">
      <alignment horizontal="center" vertical="center" wrapText="1"/>
    </xf>
    <xf numFmtId="0" fontId="21" fillId="5" borderId="10" xfId="1" applyFont="1" applyFill="1" applyBorder="1" applyAlignment="1">
      <alignment horizontal="left" vertical="top" wrapText="1"/>
    </xf>
    <xf numFmtId="0" fontId="21" fillId="5" borderId="9" xfId="1" applyFont="1" applyFill="1" applyBorder="1" applyAlignment="1">
      <alignment vertical="center" wrapText="1"/>
    </xf>
    <xf numFmtId="0" fontId="21" fillId="5" borderId="0" xfId="1" applyFont="1" applyFill="1" applyAlignment="1">
      <alignment vertical="center" wrapText="1"/>
    </xf>
    <xf numFmtId="14" fontId="21" fillId="5" borderId="0" xfId="1" applyNumberFormat="1" applyFont="1" applyFill="1" applyAlignment="1">
      <alignment horizontal="left" vertical="center" wrapText="1"/>
    </xf>
    <xf numFmtId="0" fontId="21" fillId="5" borderId="0" xfId="1" applyFont="1" applyFill="1" applyAlignment="1">
      <alignment horizontal="right" vertical="center" wrapText="1"/>
    </xf>
    <xf numFmtId="0" fontId="21" fillId="5" borderId="0" xfId="1" applyFont="1" applyFill="1" applyAlignment="1">
      <alignment horizontal="left" vertical="center" wrapText="1"/>
    </xf>
    <xf numFmtId="2" fontId="21" fillId="5" borderId="0" xfId="1" applyNumberFormat="1" applyFont="1" applyFill="1" applyAlignment="1">
      <alignment horizontal="left" vertical="center" wrapText="1"/>
    </xf>
    <xf numFmtId="0" fontId="21" fillId="5" borderId="9" xfId="1" applyFont="1" applyFill="1" applyBorder="1" applyAlignment="1">
      <alignment horizontal="left" vertical="center" wrapText="1"/>
    </xf>
    <xf numFmtId="166" fontId="21" fillId="5" borderId="0" xfId="2" applyNumberFormat="1" applyFont="1" applyFill="1" applyBorder="1" applyAlignment="1">
      <alignment horizontal="right" vertical="center" wrapText="1"/>
    </xf>
    <xf numFmtId="166" fontId="21" fillId="5" borderId="10" xfId="2" applyNumberFormat="1" applyFont="1" applyFill="1" applyBorder="1" applyAlignment="1">
      <alignment horizontal="left" vertical="top" wrapText="1"/>
    </xf>
    <xf numFmtId="0" fontId="21" fillId="5" borderId="2" xfId="1" applyFont="1" applyFill="1" applyBorder="1" applyAlignment="1">
      <alignment horizontal="left" vertical="center" wrapText="1"/>
    </xf>
    <xf numFmtId="0" fontId="21" fillId="5" borderId="2" xfId="1" applyFont="1" applyFill="1" applyBorder="1" applyAlignment="1">
      <alignment vertical="center" wrapText="1"/>
    </xf>
    <xf numFmtId="166" fontId="21" fillId="5" borderId="2" xfId="2" applyNumberFormat="1" applyFont="1" applyFill="1" applyBorder="1" applyAlignment="1">
      <alignment horizontal="right" vertical="center" wrapText="1"/>
    </xf>
    <xf numFmtId="166" fontId="21" fillId="5" borderId="11" xfId="2" applyNumberFormat="1" applyFont="1" applyFill="1" applyBorder="1" applyAlignment="1">
      <alignment horizontal="left" vertical="center" wrapText="1"/>
    </xf>
    <xf numFmtId="0" fontId="21" fillId="5" borderId="7" xfId="1" applyFont="1" applyFill="1" applyBorder="1" applyAlignment="1">
      <alignment horizontal="left" vertical="center" wrapText="1"/>
    </xf>
    <xf numFmtId="0" fontId="21" fillId="5" borderId="6" xfId="1" applyFont="1" applyFill="1" applyBorder="1" applyAlignment="1">
      <alignment horizontal="left" vertical="center" wrapText="1"/>
    </xf>
    <xf numFmtId="0" fontId="21" fillId="5" borderId="8" xfId="1" applyFont="1" applyFill="1" applyBorder="1" applyAlignment="1">
      <alignment horizontal="left" vertical="center" wrapText="1"/>
    </xf>
    <xf numFmtId="0" fontId="21" fillId="5" borderId="1" xfId="1" applyFont="1" applyFill="1" applyBorder="1" applyAlignment="1">
      <alignment horizontal="center" vertical="center" wrapText="1"/>
    </xf>
    <xf numFmtId="0" fontId="21" fillId="5" borderId="2" xfId="1" applyFont="1" applyFill="1" applyBorder="1" applyAlignment="1">
      <alignment horizontal="center" vertical="center" wrapText="1"/>
    </xf>
    <xf numFmtId="166" fontId="21" fillId="5" borderId="2" xfId="2" applyNumberFormat="1" applyFont="1" applyFill="1" applyBorder="1" applyAlignment="1">
      <alignment horizontal="center" vertical="center" wrapText="1"/>
    </xf>
    <xf numFmtId="166" fontId="21" fillId="5" borderId="11" xfId="2" applyNumberFormat="1" applyFont="1" applyFill="1" applyBorder="1" applyAlignment="1">
      <alignment horizontal="center" vertical="center" wrapText="1"/>
    </xf>
    <xf numFmtId="0" fontId="21" fillId="0" borderId="1" xfId="1" applyFont="1" applyBorder="1" applyAlignment="1">
      <alignment horizontal="left" vertical="center" wrapText="1"/>
    </xf>
    <xf numFmtId="0" fontId="21" fillId="0" borderId="2" xfId="1" applyFont="1" applyBorder="1" applyAlignment="1">
      <alignment horizontal="left" vertical="center" wrapText="1"/>
    </xf>
    <xf numFmtId="0" fontId="21" fillId="0" borderId="2" xfId="1" applyFont="1" applyBorder="1" applyAlignment="1">
      <alignment vertical="center" wrapText="1"/>
    </xf>
    <xf numFmtId="166" fontId="21" fillId="0" borderId="2" xfId="2" applyNumberFormat="1" applyFont="1" applyFill="1" applyBorder="1" applyAlignment="1">
      <alignment horizontal="right" vertical="center" wrapText="1"/>
    </xf>
    <xf numFmtId="166" fontId="21" fillId="0" borderId="11" xfId="2" applyNumberFormat="1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166" fontId="5" fillId="6" borderId="5" xfId="2" applyNumberFormat="1" applyFont="1" applyFill="1" applyBorder="1" applyAlignment="1">
      <alignment horizontal="right" vertical="center" wrapText="1"/>
    </xf>
    <xf numFmtId="0" fontId="7" fillId="6" borderId="4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164" fontId="20" fillId="0" borderId="0" xfId="12" applyFont="1" applyBorder="1" applyAlignment="1">
      <alignment horizontal="center" vertical="center"/>
    </xf>
    <xf numFmtId="164" fontId="20" fillId="4" borderId="0" xfId="12" applyFont="1" applyFill="1" applyBorder="1" applyAlignment="1">
      <alignment horizontal="center" vertical="center"/>
    </xf>
    <xf numFmtId="166" fontId="6" fillId="0" borderId="10" xfId="2" applyNumberFormat="1" applyFont="1" applyBorder="1" applyAlignment="1">
      <alignment horizontal="left" vertical="top"/>
    </xf>
    <xf numFmtId="168" fontId="12" fillId="6" borderId="8" xfId="2" applyNumberFormat="1" applyFont="1" applyFill="1" applyBorder="1" applyAlignment="1">
      <alignment horizontal="left" vertical="top" wrapText="1"/>
    </xf>
    <xf numFmtId="0" fontId="8" fillId="0" borderId="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168" fontId="22" fillId="0" borderId="11" xfId="11" applyNumberFormat="1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168" fontId="15" fillId="0" borderId="8" xfId="11" applyNumberFormat="1" applyBorder="1" applyAlignment="1">
      <alignment horizontal="left" vertical="top" wrapText="1"/>
    </xf>
    <xf numFmtId="9" fontId="13" fillId="0" borderId="5" xfId="2" applyFont="1" applyBorder="1" applyAlignment="1">
      <alignment horizontal="center" vertical="center" wrapText="1"/>
    </xf>
    <xf numFmtId="0" fontId="21" fillId="5" borderId="7" xfId="1" applyFont="1" applyFill="1" applyBorder="1" applyAlignment="1">
      <alignment vertical="center" wrapText="1"/>
    </xf>
    <xf numFmtId="0" fontId="21" fillId="5" borderId="6" xfId="1" applyFont="1" applyFill="1" applyBorder="1" applyAlignment="1">
      <alignment vertical="center" wrapText="1"/>
    </xf>
    <xf numFmtId="0" fontId="5" fillId="6" borderId="5" xfId="1" applyFont="1" applyFill="1" applyBorder="1" applyAlignment="1">
      <alignment vertical="center" wrapText="1"/>
    </xf>
    <xf numFmtId="168" fontId="11" fillId="0" borderId="13" xfId="2" applyNumberFormat="1" applyFont="1" applyBorder="1" applyAlignment="1">
      <alignment vertical="center" wrapText="1"/>
    </xf>
    <xf numFmtId="168" fontId="11" fillId="0" borderId="15" xfId="2" applyNumberFormat="1" applyFont="1" applyBorder="1" applyAlignment="1">
      <alignment vertical="center" wrapText="1"/>
    </xf>
    <xf numFmtId="168" fontId="11" fillId="0" borderId="16" xfId="2" applyNumberFormat="1" applyFont="1" applyBorder="1" applyAlignment="1">
      <alignment vertical="center" wrapText="1"/>
    </xf>
    <xf numFmtId="168" fontId="22" fillId="0" borderId="13" xfId="11" applyNumberFormat="1" applyFont="1" applyBorder="1" applyAlignment="1">
      <alignment vertical="center" wrapText="1"/>
    </xf>
    <xf numFmtId="168" fontId="22" fillId="0" borderId="15" xfId="11" applyNumberFormat="1" applyFont="1" applyBorder="1" applyAlignment="1">
      <alignment vertical="center" wrapText="1"/>
    </xf>
    <xf numFmtId="168" fontId="22" fillId="0" borderId="16" xfId="11" applyNumberFormat="1" applyFont="1" applyBorder="1" applyAlignment="1">
      <alignment vertical="center" wrapText="1"/>
    </xf>
    <xf numFmtId="0" fontId="21" fillId="5" borderId="10" xfId="1" applyFont="1" applyFill="1" applyBorder="1" applyAlignment="1">
      <alignment vertical="top" wrapText="1"/>
    </xf>
    <xf numFmtId="0" fontId="21" fillId="5" borderId="1" xfId="1" applyFont="1" applyFill="1" applyBorder="1" applyAlignment="1">
      <alignment vertical="center" wrapText="1"/>
    </xf>
    <xf numFmtId="166" fontId="8" fillId="0" borderId="5" xfId="0" applyNumberFormat="1" applyFont="1" applyBorder="1" applyAlignment="1">
      <alignment horizontal="center" vertical="center" wrapText="1"/>
    </xf>
  </cellXfs>
  <cellStyles count="23">
    <cellStyle name="Cena" xfId="14" xr:uid="{3D93DFCE-6404-46C2-8C9E-0F87E8772070}"/>
    <cellStyle name="Ceny" xfId="19" xr:uid="{1B49C88D-A164-4440-883F-BDA915631385}"/>
    <cellStyle name="Dziesiętny 2" xfId="8" xr:uid="{94104EA1-BA2E-4899-99A0-91F021F25452}"/>
    <cellStyle name="Dziesiętny 3" xfId="9" xr:uid="{3C2C21C5-3611-42C5-8C5B-34BB5CD93865}"/>
    <cellStyle name="Dziesiętny 3 2" xfId="22" xr:uid="{CA72B7DE-D8E8-4348-BDFE-69815B728E72}"/>
    <cellStyle name="Hiperłącze" xfId="11" builtinId="8"/>
    <cellStyle name="L.p." xfId="18" xr:uid="{2D14D8F4-595F-44E7-83E8-1CA542113A68}"/>
    <cellStyle name="Nawa_Uzadzenia" xfId="15" xr:uid="{C1A2B9B2-5FB6-4EA0-B7A1-BB8166EA4419}"/>
    <cellStyle name="Nazwa_działu" xfId="16" xr:uid="{8219588B-48FD-4D09-AEA8-B896F0ED1E77}"/>
    <cellStyle name="Normal 2" xfId="1" xr:uid="{00000000-0005-0000-0000-000000000000}"/>
    <cellStyle name="Normalny" xfId="0" builtinId="0"/>
    <cellStyle name="Normalny 2" xfId="5" xr:uid="{F9915165-9526-475B-9434-8C942485BA14}"/>
    <cellStyle name="Normalny 2 2" xfId="13" xr:uid="{6CC8F3E4-41CB-4CEE-A30C-0C056F8E6788}"/>
    <cellStyle name="Normalny 3" xfId="10" xr:uid="{C96756A5-B283-4CA1-83B5-C64E321EA9E1}"/>
    <cellStyle name="Normalny 7" xfId="3" xr:uid="{FDC1B888-CFAD-4311-827C-75BFC34712FB}"/>
    <cellStyle name="Normalny 7 2" xfId="7" xr:uid="{055098B6-685D-428B-9D8B-5222C45CFD48}"/>
    <cellStyle name="Opis_Urzadzenia" xfId="17" xr:uid="{0C49893B-F3A3-4BC8-8B24-E5F61B072572}"/>
    <cellStyle name="Procentowy" xfId="2" builtinId="5"/>
    <cellStyle name="Walutowy" xfId="12" builtinId="4"/>
    <cellStyle name="Walutowy 2" xfId="6" xr:uid="{98196D0C-7201-492A-BD04-EEC180F00CE2}"/>
    <cellStyle name="Walutowy 2 2" xfId="21" xr:uid="{10449DF2-C83C-4FC1-A48B-9D0BEF400B87}"/>
    <cellStyle name="Walutowy 3" xfId="4" xr:uid="{E422927D-9801-4CA5-98BC-7575316982CC}"/>
    <cellStyle name="Walutowy 3 2" xfId="20" xr:uid="{07324B8C-9B64-4A89-96B6-C03FDFF66C4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2F2F2"/>
      <color rgb="FF9FFFFF"/>
      <color rgb="FFFFFF66"/>
      <color rgb="FFA568D2"/>
      <color rgb="FFFF9999"/>
      <color rgb="FF25273A"/>
      <color rgb="FF7982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villsglobal-my.sharepoint.com/Users/K.Czepkowskanalepka/Desktop/Mazars/Kopia%20pliku%20MAMA%20-%20Harmony%20Office%20Mazars%20-%20rev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skalik/Desktop/Oferty%202014%20-%20PS/M76%20-%206p/WSK/Oferta%20NEO-&#346;WIAT%20-%20GOOGLE%20KRAK&#211;W%20rev.02_po%20poprawkach_29.12.20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ERTA"/>
      <sheetName val="Kosztorys"/>
      <sheetName val="SUMA"/>
      <sheetName val="Konfiguracja"/>
      <sheetName val="01 work"/>
      <sheetName val="02 work"/>
      <sheetName val="03 work"/>
      <sheetName val="04 cennik"/>
      <sheetName val="Zestawienie"/>
      <sheetName val="WSKAŹNIKI"/>
      <sheetName val="Delimiter"/>
      <sheetName val="sufity"/>
      <sheetName val="podłogi"/>
      <sheetName val="ściany"/>
      <sheetName val="demontaże"/>
      <sheetName val="99 work"/>
      <sheetName val="0D podłogi podniesione"/>
      <sheetName val="0B płytki"/>
      <sheetName val="0A panele"/>
      <sheetName val="09 wykładziny"/>
      <sheetName val="08 stolarka"/>
      <sheetName val="07"/>
      <sheetName val="06 prep techn"/>
      <sheetName val="05 farby"/>
      <sheetName val="04 kleje"/>
      <sheetName val="03 masy szpachlowe"/>
      <sheetName val="02 sufity modułowe"/>
      <sheetName val="01 gk"/>
      <sheetName val="Secret"/>
      <sheetName val="TETRISOFT"/>
      <sheetName val="PODZIAŁ KOSZTÓW"/>
      <sheetName val="PRACEDODATKOWE"/>
      <sheetName val="SUMAPZ"/>
      <sheetName val="PODSUMOWANIE POLECEŃ ZMIAN"/>
      <sheetName val="FAKTUROWANIE"/>
      <sheetName val="ZESTAWIENIE FV"/>
      <sheetName val="Kopia pliku MAMA - Harmony Offi"/>
    </sheetNames>
    <sheetDataSet>
      <sheetData sheetId="0"/>
      <sheetData sheetId="1"/>
      <sheetData sheetId="2">
        <row r="26">
          <cell r="D26">
            <v>0</v>
          </cell>
        </row>
      </sheetData>
      <sheetData sheetId="3"/>
      <sheetData sheetId="4"/>
      <sheetData sheetId="5">
        <row r="7">
          <cell r="T7" t="str">
            <v xml:space="preserve">Dariusz Czaplarski </v>
          </cell>
        </row>
        <row r="8">
          <cell r="T8" t="str">
            <v xml:space="preserve">Damian Sowa </v>
          </cell>
        </row>
        <row r="9">
          <cell r="T9" t="str">
            <v>Krystian Przyborowski</v>
          </cell>
        </row>
        <row r="10">
          <cell r="T10" t="str">
            <v>Aleksandra Skiba</v>
          </cell>
        </row>
        <row r="11">
          <cell r="T11" t="str">
            <v>Paweł Bieniek</v>
          </cell>
        </row>
        <row r="12">
          <cell r="T12" t="str">
            <v xml:space="preserve">Krzysztof Bosak  </v>
          </cell>
        </row>
        <row r="13">
          <cell r="T13" t="str">
            <v>Patrycja Nurczyk</v>
          </cell>
        </row>
        <row r="14">
          <cell r="T14" t="str">
            <v>Martyna Drążkiewicz</v>
          </cell>
        </row>
        <row r="15">
          <cell r="T15" t="str">
            <v>Magdalena Strycharska</v>
          </cell>
        </row>
        <row r="16">
          <cell r="T16" t="str">
            <v>Wincenty Pajewski</v>
          </cell>
        </row>
        <row r="17">
          <cell r="T17" t="str">
            <v>Joanna Nowakowska</v>
          </cell>
        </row>
        <row r="18">
          <cell r="T18" t="str">
            <v>Katarzyna Knap</v>
          </cell>
        </row>
        <row r="19">
          <cell r="T19" t="str">
            <v>Anna Łazarowicz</v>
          </cell>
        </row>
        <row r="20">
          <cell r="T20" t="str">
            <v>Agnieszka Bronowska</v>
          </cell>
        </row>
        <row r="21">
          <cell r="T21" t="str">
            <v>Aleksandra Kudła</v>
          </cell>
        </row>
        <row r="22">
          <cell r="T22" t="str">
            <v>Julia Paczała</v>
          </cell>
        </row>
        <row r="23">
          <cell r="T23" t="str">
            <v>Andrej Goleniewski</v>
          </cell>
        </row>
        <row r="26">
          <cell r="T26" t="str">
            <v xml:space="preserve">Bogumila Kompowska </v>
          </cell>
        </row>
        <row r="27">
          <cell r="T27" t="str">
            <v xml:space="preserve">Paweł Pikus </v>
          </cell>
        </row>
        <row r="28">
          <cell r="T28" t="str">
            <v>Marta Puzio</v>
          </cell>
        </row>
        <row r="29">
          <cell r="T29" t="str">
            <v>Adam Sypniewski</v>
          </cell>
        </row>
        <row r="30">
          <cell r="T30" t="str">
            <v xml:space="preserve">Tomasz Spalik </v>
          </cell>
        </row>
        <row r="31">
          <cell r="T31" t="str">
            <v xml:space="preserve">Maciej Duda </v>
          </cell>
        </row>
      </sheetData>
      <sheetData sheetId="6">
        <row r="2">
          <cell r="C2">
            <v>0.03</v>
          </cell>
        </row>
        <row r="3">
          <cell r="C3">
            <v>0.1</v>
          </cell>
        </row>
        <row r="9">
          <cell r="B9" t="str">
            <v>NEO ŚWIAT</v>
          </cell>
          <cell r="D9">
            <v>0.21</v>
          </cell>
          <cell r="E9" t="b">
            <v>1</v>
          </cell>
        </row>
        <row r="10">
          <cell r="B10" t="str">
            <v>PODWYKONAWCA</v>
          </cell>
          <cell r="D10">
            <v>0.2</v>
          </cell>
          <cell r="E10" t="b">
            <v>1</v>
          </cell>
        </row>
        <row r="11">
          <cell r="B11" t="str">
            <v>SZACUNEK</v>
          </cell>
          <cell r="D11">
            <v>0.2</v>
          </cell>
          <cell r="E11" t="b">
            <v>0</v>
          </cell>
        </row>
        <row r="12">
          <cell r="B12" t="str">
            <v>ANDRZEJ SEKUŁA</v>
          </cell>
          <cell r="C12">
            <v>0</v>
          </cell>
          <cell r="D12">
            <v>0.17</v>
          </cell>
          <cell r="E12" t="b">
            <v>0</v>
          </cell>
        </row>
        <row r="13">
          <cell r="B13" t="str">
            <v>EL-KORSA</v>
          </cell>
          <cell r="C13">
            <v>0</v>
          </cell>
          <cell r="D13">
            <v>0.17</v>
          </cell>
          <cell r="E13" t="b">
            <v>0</v>
          </cell>
        </row>
        <row r="14">
          <cell r="B14" t="str">
            <v>SIEMENS</v>
          </cell>
          <cell r="C14">
            <v>0</v>
          </cell>
          <cell r="D14">
            <v>0.12</v>
          </cell>
          <cell r="E14" t="b">
            <v>0</v>
          </cell>
        </row>
        <row r="15">
          <cell r="B15" t="str">
            <v>KACZMAREK</v>
          </cell>
          <cell r="C15">
            <v>0</v>
          </cell>
          <cell r="D15">
            <v>0.2</v>
          </cell>
          <cell r="E15" t="b">
            <v>0</v>
          </cell>
        </row>
        <row r="16">
          <cell r="B16" t="str">
            <v>ESPES</v>
          </cell>
          <cell r="C16">
            <v>0</v>
          </cell>
          <cell r="D16">
            <v>0.2</v>
          </cell>
          <cell r="E16" t="b">
            <v>0</v>
          </cell>
        </row>
        <row r="17">
          <cell r="B17" t="str">
            <v>IKEA</v>
          </cell>
          <cell r="C17">
            <v>0</v>
          </cell>
          <cell r="D17">
            <v>0.2</v>
          </cell>
          <cell r="E17" t="b">
            <v>0</v>
          </cell>
        </row>
        <row r="18">
          <cell r="B18" t="str">
            <v>NEO-NET</v>
          </cell>
          <cell r="C18">
            <v>0</v>
          </cell>
          <cell r="D18">
            <v>0.2</v>
          </cell>
          <cell r="E18" t="b">
            <v>0</v>
          </cell>
        </row>
        <row r="19">
          <cell r="B19" t="str">
            <v>MAXFLIZ.PL</v>
          </cell>
          <cell r="C19">
            <v>0</v>
          </cell>
          <cell r="D19">
            <v>0.2</v>
          </cell>
          <cell r="E19" t="b">
            <v>0</v>
          </cell>
        </row>
        <row r="20">
          <cell r="B20" t="str">
            <v>BOZZA</v>
          </cell>
          <cell r="C20">
            <v>0</v>
          </cell>
          <cell r="D20">
            <v>0.2</v>
          </cell>
          <cell r="E20" t="b">
            <v>0</v>
          </cell>
        </row>
        <row r="21">
          <cell r="B21" t="str">
            <v>BIMSPLUS</v>
          </cell>
          <cell r="C21">
            <v>0</v>
          </cell>
          <cell r="D21">
            <v>0.2</v>
          </cell>
          <cell r="E21" t="b">
            <v>0</v>
          </cell>
        </row>
        <row r="22">
          <cell r="B22" t="str">
            <v>GRAST MTB</v>
          </cell>
          <cell r="C22">
            <v>0</v>
          </cell>
          <cell r="D22">
            <v>0.2</v>
          </cell>
          <cell r="E22" t="b">
            <v>0</v>
          </cell>
        </row>
        <row r="23">
          <cell r="B23" t="str">
            <v>LUMINOSFERA</v>
          </cell>
          <cell r="C23">
            <v>0</v>
          </cell>
          <cell r="D23">
            <v>0.2</v>
          </cell>
          <cell r="E23" t="b">
            <v>0</v>
          </cell>
        </row>
        <row r="24">
          <cell r="B24" t="str">
            <v>BRW</v>
          </cell>
          <cell r="C24">
            <v>0</v>
          </cell>
          <cell r="D24">
            <v>0.2</v>
          </cell>
          <cell r="E24" t="b">
            <v>0</v>
          </cell>
        </row>
        <row r="25">
          <cell r="B25" t="str">
            <v>ACCORD</v>
          </cell>
          <cell r="C25">
            <v>0</v>
          </cell>
          <cell r="D25">
            <v>0.2</v>
          </cell>
          <cell r="E25" t="b">
            <v>0</v>
          </cell>
        </row>
        <row r="26">
          <cell r="C26">
            <v>0</v>
          </cell>
          <cell r="D26">
            <v>0.2</v>
          </cell>
          <cell r="E26" t="b">
            <v>0</v>
          </cell>
        </row>
        <row r="27">
          <cell r="C27">
            <v>0</v>
          </cell>
          <cell r="D27">
            <v>0.2</v>
          </cell>
          <cell r="E27" t="b">
            <v>0</v>
          </cell>
        </row>
        <row r="28">
          <cell r="C28">
            <v>0</v>
          </cell>
          <cell r="D28">
            <v>0.2</v>
          </cell>
          <cell r="E28" t="b">
            <v>0</v>
          </cell>
        </row>
        <row r="29">
          <cell r="C29">
            <v>0</v>
          </cell>
          <cell r="D29">
            <v>0.2</v>
          </cell>
          <cell r="E29" t="b">
            <v>0</v>
          </cell>
        </row>
        <row r="30">
          <cell r="C30">
            <v>0</v>
          </cell>
          <cell r="D30">
            <v>0.2</v>
          </cell>
          <cell r="E30" t="b">
            <v>0</v>
          </cell>
        </row>
        <row r="31">
          <cell r="C31">
            <v>0</v>
          </cell>
          <cell r="D31">
            <v>0.2</v>
          </cell>
          <cell r="E31" t="b">
            <v>0</v>
          </cell>
        </row>
        <row r="32">
          <cell r="C32">
            <v>0</v>
          </cell>
          <cell r="D32">
            <v>0.2</v>
          </cell>
          <cell r="E32" t="b">
            <v>0</v>
          </cell>
        </row>
        <row r="33">
          <cell r="C33">
            <v>0</v>
          </cell>
          <cell r="D33">
            <v>0.2</v>
          </cell>
          <cell r="E33" t="b">
            <v>0</v>
          </cell>
        </row>
        <row r="34">
          <cell r="C34">
            <v>0</v>
          </cell>
          <cell r="D34">
            <v>0.2</v>
          </cell>
          <cell r="E34" t="b">
            <v>0</v>
          </cell>
        </row>
        <row r="35">
          <cell r="C35">
            <v>0</v>
          </cell>
          <cell r="D35">
            <v>0.2</v>
          </cell>
          <cell r="E35" t="b">
            <v>0</v>
          </cell>
        </row>
        <row r="36">
          <cell r="C36">
            <v>0</v>
          </cell>
          <cell r="D36">
            <v>0.2</v>
          </cell>
          <cell r="E36" t="b">
            <v>0</v>
          </cell>
        </row>
        <row r="37">
          <cell r="C37">
            <v>0</v>
          </cell>
          <cell r="D37">
            <v>0.2</v>
          </cell>
          <cell r="E37" t="b">
            <v>0</v>
          </cell>
        </row>
        <row r="38">
          <cell r="C38">
            <v>0</v>
          </cell>
          <cell r="D38">
            <v>0.2</v>
          </cell>
          <cell r="E38" t="b">
            <v>0</v>
          </cell>
        </row>
        <row r="39">
          <cell r="C39">
            <v>0</v>
          </cell>
          <cell r="D39">
            <v>0.2</v>
          </cell>
          <cell r="E39" t="b">
            <v>0</v>
          </cell>
        </row>
        <row r="40">
          <cell r="C40">
            <v>0</v>
          </cell>
          <cell r="D40">
            <v>0.2</v>
          </cell>
          <cell r="E40" t="b">
            <v>0</v>
          </cell>
        </row>
        <row r="41">
          <cell r="C41">
            <v>0</v>
          </cell>
          <cell r="D41">
            <v>0.2</v>
          </cell>
          <cell r="E41" t="b">
            <v>0</v>
          </cell>
        </row>
        <row r="42">
          <cell r="C42">
            <v>0</v>
          </cell>
          <cell r="D42">
            <v>0.2</v>
          </cell>
          <cell r="E42" t="b">
            <v>0</v>
          </cell>
        </row>
        <row r="44">
          <cell r="B44" t="str">
            <v>KOORDYNACJA</v>
          </cell>
          <cell r="C44">
            <v>0</v>
          </cell>
          <cell r="E44" t="b">
            <v>0</v>
          </cell>
          <cell r="F44">
            <v>0</v>
          </cell>
        </row>
        <row r="71">
          <cell r="C71">
            <v>0</v>
          </cell>
        </row>
        <row r="72">
          <cell r="C72">
            <v>0</v>
          </cell>
        </row>
        <row r="73">
          <cell r="C73">
            <v>1.4999999999999999E-2</v>
          </cell>
        </row>
        <row r="74">
          <cell r="C7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ERTA"/>
      <sheetName val="demontaże"/>
      <sheetName val="ściany"/>
      <sheetName val="stolarka"/>
      <sheetName val="podłogi"/>
      <sheetName val="sufity"/>
      <sheetName val="pozostałe"/>
      <sheetName val="IS"/>
      <sheetName val="EL"/>
      <sheetName val="NP"/>
      <sheetName val="projekty"/>
      <sheetName val="SUMA"/>
      <sheetName val="01 work"/>
      <sheetName val="02 work"/>
      <sheetName val="03 work"/>
      <sheetName val="KB_KP_Z"/>
      <sheetName val="Arkusz1"/>
      <sheetName val="01_work"/>
      <sheetName val="02_work"/>
      <sheetName val="03_work"/>
      <sheetName val="01_work1"/>
      <sheetName val="02_work1"/>
      <sheetName val="03_work1"/>
      <sheetName val="Oferta NEO-ŚWIAT - GOOGLE KRAKÓ"/>
    </sheetNames>
    <sheetDataSet>
      <sheetData sheetId="0"/>
      <sheetData sheetId="1">
        <row r="11">
          <cell r="BN11">
            <v>320582.67000000004</v>
          </cell>
          <cell r="BO11">
            <v>289546.63515185995</v>
          </cell>
        </row>
      </sheetData>
      <sheetData sheetId="2">
        <row r="11">
          <cell r="BN11">
            <v>1183250.3700000001</v>
          </cell>
          <cell r="BO11">
            <v>1211234.6912923749</v>
          </cell>
        </row>
      </sheetData>
      <sheetData sheetId="3">
        <row r="11">
          <cell r="BN11">
            <v>0</v>
          </cell>
          <cell r="BO11">
            <v>0</v>
          </cell>
        </row>
      </sheetData>
      <sheetData sheetId="4">
        <row r="9">
          <cell r="BN9">
            <v>1127116.2699999998</v>
          </cell>
          <cell r="BO9">
            <v>1075429.0672299997</v>
          </cell>
        </row>
      </sheetData>
      <sheetData sheetId="5">
        <row r="9">
          <cell r="BN9">
            <v>649262.47</v>
          </cell>
          <cell r="BO9">
            <v>648495.20889999997</v>
          </cell>
        </row>
      </sheetData>
      <sheetData sheetId="6">
        <row r="9">
          <cell r="BN9">
            <v>0</v>
          </cell>
          <cell r="BO9">
            <v>0</v>
          </cell>
        </row>
      </sheetData>
      <sheetData sheetId="7">
        <row r="9">
          <cell r="BN9">
            <v>0</v>
          </cell>
          <cell r="BO9">
            <v>0</v>
          </cell>
        </row>
      </sheetData>
      <sheetData sheetId="8">
        <row r="9">
          <cell r="BN9">
            <v>0</v>
          </cell>
          <cell r="BO9">
            <v>0</v>
          </cell>
        </row>
      </sheetData>
      <sheetData sheetId="9">
        <row r="12">
          <cell r="BN12">
            <v>0</v>
          </cell>
          <cell r="BO12">
            <v>0</v>
          </cell>
        </row>
      </sheetData>
      <sheetData sheetId="10">
        <row r="9">
          <cell r="BN9">
            <v>0</v>
          </cell>
          <cell r="BO9">
            <v>0</v>
          </cell>
        </row>
      </sheetData>
      <sheetData sheetId="11"/>
      <sheetData sheetId="12"/>
      <sheetData sheetId="13"/>
      <sheetData sheetId="14">
        <row r="2">
          <cell r="V2">
            <v>6.5000000000000002E-2</v>
          </cell>
        </row>
      </sheetData>
      <sheetData sheetId="15"/>
      <sheetData sheetId="16"/>
      <sheetData sheetId="17"/>
      <sheetData sheetId="18"/>
      <sheetData sheetId="19">
        <row r="2">
          <cell r="V2">
            <v>6.5000000000000002E-2</v>
          </cell>
        </row>
      </sheetData>
      <sheetData sheetId="20">
        <row r="2">
          <cell r="V2">
            <v>6.5000000000000002E-2</v>
          </cell>
        </row>
      </sheetData>
      <sheetData sheetId="21">
        <row r="2">
          <cell r="V2">
            <v>6.5000000000000002E-2</v>
          </cell>
        </row>
      </sheetData>
      <sheetData sheetId="22">
        <row r="2">
          <cell r="V2">
            <v>6.5000000000000002E-2</v>
          </cell>
        </row>
      </sheetData>
      <sheetData sheetId="23" refreshError="1"/>
    </sheetDataSet>
  </externalBook>
</externalLink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A1E4-7BE9-4327-A065-8D88411DF067}">
  <sheetPr>
    <tabColor rgb="FF00B050"/>
    <outlinePr summaryBelow="0"/>
    <pageSetUpPr fitToPage="1"/>
  </sheetPr>
  <dimension ref="A1:J330"/>
  <sheetViews>
    <sheetView tabSelected="1" showWhiteSpace="0" zoomScale="140" zoomScaleNormal="140" zoomScaleSheetLayoutView="130" zoomScalePageLayoutView="70" workbookViewId="0">
      <selection activeCell="F23" sqref="F23"/>
    </sheetView>
  </sheetViews>
  <sheetFormatPr baseColWidth="10" defaultColWidth="8.5" defaultRowHeight="14" outlineLevelRow="1"/>
  <cols>
    <col min="1" max="1" width="7.5" style="1" customWidth="1"/>
    <col min="2" max="2" width="47" style="1" customWidth="1"/>
    <col min="3" max="4" width="11.1640625" style="1" customWidth="1"/>
    <col min="5" max="5" width="12.1640625" style="1" bestFit="1" customWidth="1"/>
    <col min="6" max="6" width="15.1640625" style="7" bestFit="1" customWidth="1"/>
    <col min="7" max="7" width="36.5" style="67" customWidth="1"/>
    <col min="8" max="8" width="4.33203125" style="66" customWidth="1"/>
    <col min="9" max="10" width="9.5" style="31" bestFit="1" customWidth="1"/>
    <col min="11" max="16384" width="8.5" style="1"/>
  </cols>
  <sheetData>
    <row r="1" spans="1:7" ht="14.5" customHeight="1">
      <c r="A1" s="76"/>
      <c r="B1" s="77"/>
      <c r="C1" s="77"/>
      <c r="D1" s="77"/>
      <c r="E1" s="77"/>
      <c r="F1" s="77"/>
      <c r="G1" s="32"/>
    </row>
    <row r="2" spans="1:7" ht="2" customHeight="1" collapsed="1">
      <c r="A2" s="33"/>
      <c r="B2" s="34"/>
      <c r="C2" s="34"/>
      <c r="D2" s="34"/>
      <c r="E2" s="34"/>
      <c r="F2" s="34"/>
      <c r="G2" s="35"/>
    </row>
    <row r="3" spans="1:7" ht="14.5" hidden="1" customHeight="1" outlineLevel="1">
      <c r="A3" s="36" t="s">
        <v>42</v>
      </c>
      <c r="B3" s="37"/>
      <c r="C3" s="38"/>
      <c r="D3" s="38"/>
      <c r="E3" s="39"/>
      <c r="F3" s="39"/>
      <c r="G3" s="85"/>
    </row>
    <row r="4" spans="1:7" ht="12.75" hidden="1" customHeight="1" outlineLevel="1">
      <c r="A4" s="36" t="s">
        <v>33</v>
      </c>
      <c r="B4" s="37"/>
      <c r="C4" s="40"/>
      <c r="D4" s="40"/>
      <c r="E4" s="39"/>
      <c r="F4" s="39"/>
      <c r="G4" s="85"/>
    </row>
    <row r="5" spans="1:7" ht="12.75" hidden="1" customHeight="1" outlineLevel="1">
      <c r="A5" s="36" t="s">
        <v>34</v>
      </c>
      <c r="B5" s="37"/>
      <c r="C5" s="40"/>
      <c r="D5" s="40"/>
      <c r="E5" s="39"/>
      <c r="F5" s="39"/>
      <c r="G5" s="85"/>
    </row>
    <row r="6" spans="1:7" ht="12.75" hidden="1" customHeight="1" outlineLevel="1">
      <c r="A6" s="36" t="s">
        <v>35</v>
      </c>
      <c r="B6" s="37"/>
      <c r="C6" s="40"/>
      <c r="D6" s="40"/>
      <c r="E6" s="39"/>
      <c r="F6" s="39"/>
      <c r="G6" s="85"/>
    </row>
    <row r="7" spans="1:7" ht="17.25" hidden="1" customHeight="1" outlineLevel="1">
      <c r="A7" s="36" t="s">
        <v>36</v>
      </c>
      <c r="B7" s="37"/>
      <c r="C7" s="40"/>
      <c r="D7" s="40"/>
      <c r="E7" s="39"/>
      <c r="F7" s="39"/>
      <c r="G7" s="85"/>
    </row>
    <row r="8" spans="1:7" ht="17.25" hidden="1" customHeight="1" outlineLevel="1">
      <c r="A8" s="36" t="s">
        <v>37</v>
      </c>
      <c r="B8" s="37"/>
      <c r="C8" s="40"/>
      <c r="D8" s="40"/>
      <c r="E8" s="39"/>
      <c r="F8" s="39"/>
      <c r="G8" s="85"/>
    </row>
    <row r="9" spans="1:7" ht="12.75" hidden="1" customHeight="1" outlineLevel="1">
      <c r="A9" s="36" t="s">
        <v>38</v>
      </c>
      <c r="B9" s="37"/>
      <c r="C9" s="41"/>
      <c r="D9" s="41"/>
      <c r="E9" s="39"/>
      <c r="F9" s="39"/>
      <c r="G9" s="85"/>
    </row>
    <row r="10" spans="1:7" ht="2" hidden="1" customHeight="1" outlineLevel="1">
      <c r="A10" s="36"/>
      <c r="B10" s="37"/>
      <c r="C10" s="41"/>
      <c r="D10" s="41"/>
      <c r="E10" s="39"/>
      <c r="F10" s="39"/>
      <c r="G10" s="35"/>
    </row>
    <row r="11" spans="1:7" ht="12.75" hidden="1" customHeight="1" outlineLevel="1">
      <c r="A11" s="42"/>
      <c r="B11" s="40"/>
      <c r="C11" s="40"/>
      <c r="D11" s="40"/>
      <c r="E11" s="40"/>
      <c r="F11" s="43" t="s">
        <v>4</v>
      </c>
      <c r="G11" s="44"/>
    </row>
    <row r="12" spans="1:7" ht="28.25" hidden="1" customHeight="1" outlineLevel="1">
      <c r="A12" s="86" t="s">
        <v>39</v>
      </c>
      <c r="B12" s="46"/>
      <c r="C12" s="46"/>
      <c r="D12" s="45"/>
      <c r="E12" s="46"/>
      <c r="F12" s="47" t="e">
        <f>#REF!</f>
        <v>#REF!</v>
      </c>
      <c r="G12" s="48"/>
    </row>
    <row r="13" spans="1:7" ht="2" hidden="1" customHeight="1" outlineLevel="1">
      <c r="A13" s="56"/>
      <c r="B13" s="57"/>
      <c r="C13" s="57"/>
      <c r="D13" s="57"/>
      <c r="E13" s="58"/>
      <c r="F13" s="59"/>
      <c r="G13" s="60"/>
    </row>
    <row r="14" spans="1:7" ht="13.75" hidden="1" customHeight="1" outlineLevel="1">
      <c r="A14" s="49"/>
      <c r="B14" s="50"/>
      <c r="C14" s="50"/>
      <c r="D14" s="50"/>
      <c r="E14" s="50"/>
      <c r="F14" s="50"/>
      <c r="G14" s="51"/>
    </row>
    <row r="15" spans="1:7" ht="30">
      <c r="A15" s="52" t="s">
        <v>43</v>
      </c>
      <c r="B15" s="53" t="s">
        <v>44</v>
      </c>
      <c r="C15" s="53" t="s">
        <v>45</v>
      </c>
      <c r="D15" s="53" t="s">
        <v>46</v>
      </c>
      <c r="E15" s="53" t="s">
        <v>41</v>
      </c>
      <c r="F15" s="54" t="s">
        <v>40</v>
      </c>
      <c r="G15" s="55" t="s">
        <v>47</v>
      </c>
    </row>
    <row r="16" spans="1:7" ht="2" customHeight="1">
      <c r="A16" s="29"/>
      <c r="B16" s="26"/>
      <c r="C16" s="26"/>
      <c r="D16" s="26"/>
      <c r="E16" s="26"/>
      <c r="F16" s="27"/>
      <c r="G16" s="30"/>
    </row>
    <row r="17" spans="1:7" ht="15" customHeight="1">
      <c r="A17" s="2" t="s">
        <v>0</v>
      </c>
      <c r="B17" s="2" t="s">
        <v>63</v>
      </c>
      <c r="C17" s="8"/>
      <c r="D17" s="8"/>
      <c r="E17" s="9"/>
      <c r="F17" s="3"/>
      <c r="G17" s="24"/>
    </row>
    <row r="18" spans="1:7" ht="15" customHeight="1">
      <c r="A18" s="6" t="s">
        <v>19</v>
      </c>
      <c r="B18" s="5" t="s">
        <v>48</v>
      </c>
      <c r="C18" s="13">
        <f>0.65*3.01</f>
        <v>1.9564999999999999</v>
      </c>
      <c r="D18" s="13" t="s">
        <v>30</v>
      </c>
      <c r="E18" s="18">
        <v>298</v>
      </c>
      <c r="F18" s="4">
        <f t="shared" ref="F18:F37" si="0">E18*C18</f>
        <v>583.03699999999992</v>
      </c>
      <c r="G18" s="25"/>
    </row>
    <row r="19" spans="1:7" ht="29.25" customHeight="1">
      <c r="A19" s="6" t="s">
        <v>29</v>
      </c>
      <c r="B19" s="5" t="s">
        <v>49</v>
      </c>
      <c r="C19" s="13">
        <v>2</v>
      </c>
      <c r="D19" s="13" t="s">
        <v>32</v>
      </c>
      <c r="E19" s="18">
        <v>3500</v>
      </c>
      <c r="F19" s="4">
        <f t="shared" si="0"/>
        <v>7000</v>
      </c>
      <c r="G19" s="16" t="s">
        <v>126</v>
      </c>
    </row>
    <row r="20" spans="1:7" ht="15" customHeight="1">
      <c r="A20" s="6" t="s">
        <v>20</v>
      </c>
      <c r="B20" s="12" t="s">
        <v>50</v>
      </c>
      <c r="C20" s="13">
        <f>2.8+3.91</f>
        <v>6.71</v>
      </c>
      <c r="D20" s="13" t="s">
        <v>31</v>
      </c>
      <c r="E20" s="18">
        <v>285</v>
      </c>
      <c r="F20" s="4">
        <f t="shared" si="0"/>
        <v>1912.35</v>
      </c>
      <c r="G20" s="16"/>
    </row>
    <row r="21" spans="1:7" ht="15" customHeight="1">
      <c r="A21" s="6" t="s">
        <v>21</v>
      </c>
      <c r="B21" s="12" t="s">
        <v>52</v>
      </c>
      <c r="C21" s="13">
        <f>0.8*3</f>
        <v>2.4000000000000004</v>
      </c>
      <c r="D21" s="13" t="s">
        <v>30</v>
      </c>
      <c r="E21" s="18">
        <v>208</v>
      </c>
      <c r="F21" s="4">
        <f t="shared" si="0"/>
        <v>499.20000000000005</v>
      </c>
      <c r="G21" s="16"/>
    </row>
    <row r="22" spans="1:7" ht="15" customHeight="1">
      <c r="A22" s="6" t="s">
        <v>22</v>
      </c>
      <c r="B22" s="12" t="s">
        <v>51</v>
      </c>
      <c r="C22" s="13">
        <f>4.6+3.75</f>
        <v>8.35</v>
      </c>
      <c r="D22" s="13" t="s">
        <v>30</v>
      </c>
      <c r="E22" s="18">
        <v>290</v>
      </c>
      <c r="F22" s="4">
        <f t="shared" si="0"/>
        <v>2421.5</v>
      </c>
      <c r="G22" s="16"/>
    </row>
    <row r="23" spans="1:7" ht="15" customHeight="1">
      <c r="A23" s="6" t="s">
        <v>23</v>
      </c>
      <c r="B23" s="5" t="s">
        <v>53</v>
      </c>
      <c r="C23" s="13">
        <f>4.61+3.75+1.5*4.5+2.5*1.5</f>
        <v>18.86</v>
      </c>
      <c r="D23" s="13" t="s">
        <v>30</v>
      </c>
      <c r="E23" s="18">
        <v>150</v>
      </c>
      <c r="F23" s="4">
        <f t="shared" si="0"/>
        <v>2829</v>
      </c>
      <c r="G23" s="16"/>
    </row>
    <row r="24" spans="1:7" ht="30" customHeight="1">
      <c r="A24" s="6" t="s">
        <v>24</v>
      </c>
      <c r="B24" s="5" t="s">
        <v>54</v>
      </c>
      <c r="C24" s="13">
        <v>18</v>
      </c>
      <c r="D24" s="13" t="s">
        <v>30</v>
      </c>
      <c r="E24" s="18">
        <v>287.5</v>
      </c>
      <c r="F24" s="4">
        <f t="shared" si="0"/>
        <v>5175</v>
      </c>
      <c r="G24" s="16"/>
    </row>
    <row r="25" spans="1:7" ht="30" customHeight="1">
      <c r="A25" s="6" t="s">
        <v>25</v>
      </c>
      <c r="B25" s="5" t="s">
        <v>55</v>
      </c>
      <c r="C25" s="13">
        <v>8.5</v>
      </c>
      <c r="D25" s="13" t="s">
        <v>30</v>
      </c>
      <c r="E25" s="18">
        <v>325</v>
      </c>
      <c r="F25" s="4">
        <f t="shared" si="0"/>
        <v>2762.5</v>
      </c>
      <c r="G25" s="16"/>
    </row>
    <row r="26" spans="1:7" ht="30" customHeight="1">
      <c r="A26" s="6" t="s">
        <v>26</v>
      </c>
      <c r="B26" s="5" t="s">
        <v>56</v>
      </c>
      <c r="C26" s="13">
        <v>40</v>
      </c>
      <c r="D26" s="13" t="s">
        <v>30</v>
      </c>
      <c r="E26" s="18">
        <v>237.5</v>
      </c>
      <c r="F26" s="4">
        <f t="shared" si="0"/>
        <v>9500</v>
      </c>
      <c r="G26" s="16"/>
    </row>
    <row r="27" spans="1:7" ht="15" customHeight="1">
      <c r="A27" s="6" t="s">
        <v>27</v>
      </c>
      <c r="B27" s="5" t="s">
        <v>57</v>
      </c>
      <c r="C27" s="13">
        <f>2.6*(7.78+7.2)</f>
        <v>38.948</v>
      </c>
      <c r="D27" s="13" t="s">
        <v>30</v>
      </c>
      <c r="E27" s="18">
        <v>287.5</v>
      </c>
      <c r="F27" s="4">
        <f t="shared" si="0"/>
        <v>11197.55</v>
      </c>
      <c r="G27" s="16" t="s">
        <v>127</v>
      </c>
    </row>
    <row r="28" spans="1:7" ht="27.75" customHeight="1">
      <c r="A28" s="6" t="s">
        <v>28</v>
      </c>
      <c r="B28" s="5" t="s">
        <v>64</v>
      </c>
      <c r="C28" s="13">
        <f>3.35+4.15</f>
        <v>7.5</v>
      </c>
      <c r="D28" s="13" t="s">
        <v>31</v>
      </c>
      <c r="E28" s="18">
        <v>325</v>
      </c>
      <c r="F28" s="4">
        <f t="shared" si="0"/>
        <v>2437.5</v>
      </c>
      <c r="G28" s="16" t="s">
        <v>124</v>
      </c>
    </row>
    <row r="29" spans="1:7" ht="15" customHeight="1">
      <c r="A29" s="6" t="s">
        <v>58</v>
      </c>
      <c r="B29" s="64" t="s">
        <v>67</v>
      </c>
      <c r="C29" s="13">
        <v>2</v>
      </c>
      <c r="D29" s="13" t="s">
        <v>32</v>
      </c>
      <c r="E29" s="18">
        <v>3300</v>
      </c>
      <c r="F29" s="4">
        <f t="shared" si="0"/>
        <v>6600</v>
      </c>
      <c r="G29" s="16"/>
    </row>
    <row r="30" spans="1:7" ht="15" customHeight="1">
      <c r="A30" s="6" t="s">
        <v>59</v>
      </c>
      <c r="B30" s="64" t="s">
        <v>68</v>
      </c>
      <c r="C30" s="13">
        <f>C24+C25+C26</f>
        <v>66.5</v>
      </c>
      <c r="D30" s="13" t="s">
        <v>30</v>
      </c>
      <c r="E30" s="18">
        <v>76</v>
      </c>
      <c r="F30" s="4">
        <f t="shared" si="0"/>
        <v>5054</v>
      </c>
      <c r="G30" s="16"/>
    </row>
    <row r="31" spans="1:7" ht="15" customHeight="1">
      <c r="A31" s="6" t="s">
        <v>60</v>
      </c>
      <c r="B31" s="64" t="s">
        <v>78</v>
      </c>
      <c r="C31" s="13">
        <f>C32+C33+C34+C35</f>
        <v>142.06</v>
      </c>
      <c r="D31" s="13" t="s">
        <v>30</v>
      </c>
      <c r="E31" s="18">
        <v>36</v>
      </c>
      <c r="F31" s="4">
        <f t="shared" si="0"/>
        <v>5114.16</v>
      </c>
      <c r="G31" s="16"/>
    </row>
    <row r="32" spans="1:7" ht="15" customHeight="1">
      <c r="A32" s="6" t="s">
        <v>61</v>
      </c>
      <c r="B32" s="64" t="s">
        <v>69</v>
      </c>
      <c r="C32" s="13">
        <f>3*(2.21+3.45)</f>
        <v>16.98</v>
      </c>
      <c r="D32" s="13" t="s">
        <v>30</v>
      </c>
      <c r="E32" s="18">
        <v>279.5</v>
      </c>
      <c r="F32" s="4">
        <f t="shared" si="0"/>
        <v>4745.91</v>
      </c>
      <c r="G32" s="16" t="s">
        <v>123</v>
      </c>
    </row>
    <row r="33" spans="1:7" ht="15" customHeight="1">
      <c r="A33" s="6" t="s">
        <v>62</v>
      </c>
      <c r="B33" s="64" t="s">
        <v>70</v>
      </c>
      <c r="C33" s="13">
        <f>3*(3.45+6.44)</f>
        <v>29.67</v>
      </c>
      <c r="D33" s="13" t="s">
        <v>30</v>
      </c>
      <c r="E33" s="18">
        <v>245.63</v>
      </c>
      <c r="F33" s="4">
        <f t="shared" si="0"/>
        <v>7287.8420999999998</v>
      </c>
      <c r="G33" s="16" t="s">
        <v>112</v>
      </c>
    </row>
    <row r="34" spans="1:7" ht="15" customHeight="1">
      <c r="A34" s="6" t="s">
        <v>73</v>
      </c>
      <c r="B34" s="64" t="s">
        <v>71</v>
      </c>
      <c r="C34" s="13">
        <f>2.21*3</f>
        <v>6.63</v>
      </c>
      <c r="D34" s="13" t="s">
        <v>30</v>
      </c>
      <c r="E34" s="18">
        <v>60</v>
      </c>
      <c r="F34" s="4">
        <f t="shared" si="0"/>
        <v>397.8</v>
      </c>
      <c r="G34" s="16"/>
    </row>
    <row r="35" spans="1:7" ht="15" customHeight="1">
      <c r="A35" s="6" t="s">
        <v>74</v>
      </c>
      <c r="B35" s="64" t="s">
        <v>72</v>
      </c>
      <c r="C35" s="13">
        <f>3*33.02-6.28-4</f>
        <v>88.78</v>
      </c>
      <c r="D35" s="13" t="s">
        <v>30</v>
      </c>
      <c r="E35" s="18">
        <v>42</v>
      </c>
      <c r="F35" s="4">
        <f t="shared" si="0"/>
        <v>3728.76</v>
      </c>
      <c r="G35" s="16"/>
    </row>
    <row r="36" spans="1:7" ht="15" customHeight="1">
      <c r="A36" s="6" t="s">
        <v>75</v>
      </c>
      <c r="B36" s="64" t="s">
        <v>77</v>
      </c>
      <c r="C36" s="13">
        <v>50.73</v>
      </c>
      <c r="D36" s="13" t="s">
        <v>31</v>
      </c>
      <c r="E36" s="18">
        <v>45.5</v>
      </c>
      <c r="F36" s="4">
        <f t="shared" si="0"/>
        <v>2308.2149999999997</v>
      </c>
      <c r="G36" s="16" t="s">
        <v>125</v>
      </c>
    </row>
    <row r="37" spans="1:7" ht="15" customHeight="1">
      <c r="A37" s="6" t="s">
        <v>76</v>
      </c>
      <c r="B37" s="64" t="s">
        <v>79</v>
      </c>
      <c r="C37" s="13">
        <v>1</v>
      </c>
      <c r="D37" s="13" t="s">
        <v>32</v>
      </c>
      <c r="E37" s="18">
        <v>1500</v>
      </c>
      <c r="F37" s="4">
        <f t="shared" si="0"/>
        <v>1500</v>
      </c>
      <c r="G37" s="16"/>
    </row>
    <row r="38" spans="1:7" ht="15" customHeight="1">
      <c r="A38" s="2" t="s">
        <v>1</v>
      </c>
      <c r="B38" s="2" t="s">
        <v>81</v>
      </c>
      <c r="C38" s="10"/>
      <c r="D38" s="10"/>
      <c r="E38" s="9"/>
      <c r="F38" s="9"/>
      <c r="G38" s="24"/>
    </row>
    <row r="39" spans="1:7" ht="15" customHeight="1">
      <c r="A39" s="11" t="s">
        <v>5</v>
      </c>
      <c r="B39" s="69" t="s">
        <v>86</v>
      </c>
      <c r="C39" s="13">
        <v>2</v>
      </c>
      <c r="D39" s="13" t="s">
        <v>32</v>
      </c>
      <c r="E39" s="18">
        <v>850</v>
      </c>
      <c r="F39" s="17">
        <f t="shared" ref="F39" si="1">C39*E39</f>
        <v>1700</v>
      </c>
      <c r="G39" s="28"/>
    </row>
    <row r="40" spans="1:7" ht="15" customHeight="1">
      <c r="A40" s="11" t="s">
        <v>6</v>
      </c>
      <c r="B40" s="69" t="s">
        <v>82</v>
      </c>
      <c r="C40" s="13">
        <v>15</v>
      </c>
      <c r="D40" s="13" t="s">
        <v>32</v>
      </c>
      <c r="E40" s="18">
        <v>275</v>
      </c>
      <c r="F40" s="4">
        <f>C40*E40</f>
        <v>4125</v>
      </c>
      <c r="G40" s="20"/>
    </row>
    <row r="41" spans="1:7" ht="28.5" customHeight="1">
      <c r="A41" s="11" t="s">
        <v>7</v>
      </c>
      <c r="B41" s="69" t="s">
        <v>83</v>
      </c>
      <c r="C41" s="13">
        <v>6</v>
      </c>
      <c r="D41" s="13" t="s">
        <v>32</v>
      </c>
      <c r="E41" s="18">
        <v>995</v>
      </c>
      <c r="F41" s="4">
        <f>C41*E41</f>
        <v>5970</v>
      </c>
      <c r="G41" s="20" t="s">
        <v>130</v>
      </c>
    </row>
    <row r="42" spans="1:7" ht="29.25" customHeight="1">
      <c r="A42" s="11" t="s">
        <v>8</v>
      </c>
      <c r="B42" s="70" t="s">
        <v>84</v>
      </c>
      <c r="C42" s="13">
        <v>10</v>
      </c>
      <c r="D42" s="13" t="s">
        <v>32</v>
      </c>
      <c r="E42" s="18">
        <v>375</v>
      </c>
      <c r="F42" s="4">
        <f>C42*E42</f>
        <v>3750</v>
      </c>
      <c r="G42" s="20" t="s">
        <v>131</v>
      </c>
    </row>
    <row r="43" spans="1:7" ht="15" customHeight="1">
      <c r="A43" s="11" t="s">
        <v>9</v>
      </c>
      <c r="B43" s="70" t="s">
        <v>85</v>
      </c>
      <c r="C43" s="22">
        <v>4</v>
      </c>
      <c r="D43" s="22" t="s">
        <v>32</v>
      </c>
      <c r="E43" s="23">
        <v>220</v>
      </c>
      <c r="F43" s="17">
        <f t="shared" ref="F43" si="2">C43*E43</f>
        <v>880</v>
      </c>
      <c r="G43" s="19"/>
    </row>
    <row r="44" spans="1:7" ht="15" customHeight="1">
      <c r="A44" s="2" t="s">
        <v>2</v>
      </c>
      <c r="B44" s="2" t="s">
        <v>65</v>
      </c>
      <c r="C44" s="10"/>
      <c r="D44" s="10"/>
      <c r="E44" s="9"/>
      <c r="F44" s="3"/>
      <c r="G44" s="24"/>
    </row>
    <row r="45" spans="1:7" ht="30" customHeight="1">
      <c r="A45" s="11" t="s">
        <v>10</v>
      </c>
      <c r="B45" s="12" t="s">
        <v>87</v>
      </c>
      <c r="C45" s="13">
        <v>2</v>
      </c>
      <c r="D45" s="13" t="s">
        <v>32</v>
      </c>
      <c r="E45" s="18">
        <v>1750</v>
      </c>
      <c r="F45" s="4">
        <f>C45*E45</f>
        <v>3500</v>
      </c>
      <c r="G45" s="79" t="s">
        <v>128</v>
      </c>
    </row>
    <row r="46" spans="1:7" ht="42.75" customHeight="1">
      <c r="A46" s="11" t="s">
        <v>11</v>
      </c>
      <c r="B46" s="12" t="s">
        <v>94</v>
      </c>
      <c r="C46" s="13">
        <v>2</v>
      </c>
      <c r="D46" s="13" t="s">
        <v>32</v>
      </c>
      <c r="E46" s="18">
        <v>2950</v>
      </c>
      <c r="F46" s="4">
        <f t="shared" ref="F46:F49" si="3">C46*E46</f>
        <v>5900</v>
      </c>
      <c r="G46" s="80"/>
    </row>
    <row r="47" spans="1:7" ht="30" customHeight="1">
      <c r="A47" s="11" t="s">
        <v>12</v>
      </c>
      <c r="B47" s="12" t="s">
        <v>90</v>
      </c>
      <c r="C47" s="13">
        <v>1</v>
      </c>
      <c r="D47" s="13" t="s">
        <v>32</v>
      </c>
      <c r="E47" s="18">
        <v>1750</v>
      </c>
      <c r="F47" s="4">
        <f t="shared" si="3"/>
        <v>1750</v>
      </c>
      <c r="G47" s="80"/>
    </row>
    <row r="48" spans="1:7" ht="30" customHeight="1">
      <c r="A48" s="11" t="s">
        <v>13</v>
      </c>
      <c r="B48" s="12" t="s">
        <v>91</v>
      </c>
      <c r="C48" s="13">
        <v>1</v>
      </c>
      <c r="D48" s="13" t="s">
        <v>32</v>
      </c>
      <c r="E48" s="18">
        <v>1650</v>
      </c>
      <c r="F48" s="4">
        <f t="shared" si="3"/>
        <v>1650</v>
      </c>
      <c r="G48" s="80"/>
    </row>
    <row r="49" spans="1:7" ht="15" customHeight="1">
      <c r="A49" s="11" t="s">
        <v>88</v>
      </c>
      <c r="B49" s="12" t="s">
        <v>92</v>
      </c>
      <c r="C49" s="13">
        <v>2</v>
      </c>
      <c r="D49" s="13" t="s">
        <v>32</v>
      </c>
      <c r="E49" s="18">
        <v>1450</v>
      </c>
      <c r="F49" s="4">
        <f t="shared" si="3"/>
        <v>2900</v>
      </c>
      <c r="G49" s="80"/>
    </row>
    <row r="50" spans="1:7" ht="23.25" customHeight="1">
      <c r="A50" s="11" t="s">
        <v>89</v>
      </c>
      <c r="B50" s="12" t="s">
        <v>93</v>
      </c>
      <c r="C50" s="13">
        <v>2</v>
      </c>
      <c r="D50" s="13" t="s">
        <v>32</v>
      </c>
      <c r="E50" s="18">
        <v>1650</v>
      </c>
      <c r="F50" s="4">
        <f>C50*E50</f>
        <v>3300</v>
      </c>
      <c r="G50" s="80"/>
    </row>
    <row r="51" spans="1:7" ht="23.25" customHeight="1">
      <c r="A51" s="11" t="s">
        <v>119</v>
      </c>
      <c r="B51" s="12" t="s">
        <v>120</v>
      </c>
      <c r="C51" s="13">
        <v>2</v>
      </c>
      <c r="D51" s="13" t="s">
        <v>32</v>
      </c>
      <c r="E51" s="18">
        <v>5200</v>
      </c>
      <c r="F51" s="4">
        <f>C51*E51</f>
        <v>10400</v>
      </c>
      <c r="G51" s="80"/>
    </row>
    <row r="52" spans="1:7" ht="23.25" customHeight="1">
      <c r="A52" s="11" t="s">
        <v>135</v>
      </c>
      <c r="B52" s="12" t="s">
        <v>136</v>
      </c>
      <c r="C52" s="13">
        <v>1</v>
      </c>
      <c r="D52" s="13" t="s">
        <v>32</v>
      </c>
      <c r="E52" s="18">
        <v>6000</v>
      </c>
      <c r="F52" s="4">
        <f>C52*E52</f>
        <v>6000</v>
      </c>
      <c r="G52" s="81"/>
    </row>
    <row r="53" spans="1:7" ht="15" customHeight="1">
      <c r="A53" s="2" t="s">
        <v>3</v>
      </c>
      <c r="B53" s="2" t="s">
        <v>66</v>
      </c>
      <c r="C53" s="10"/>
      <c r="D53" s="10"/>
      <c r="E53" s="9"/>
      <c r="F53" s="3"/>
      <c r="G53" s="24"/>
    </row>
    <row r="54" spans="1:7" ht="15" customHeight="1">
      <c r="A54" s="6" t="s">
        <v>14</v>
      </c>
      <c r="B54" s="5" t="s">
        <v>95</v>
      </c>
      <c r="C54" s="13">
        <v>7.75</v>
      </c>
      <c r="D54" s="13" t="s">
        <v>31</v>
      </c>
      <c r="E54" s="18">
        <v>4250</v>
      </c>
      <c r="F54" s="4">
        <f>C54*E54</f>
        <v>32937.5</v>
      </c>
      <c r="G54" s="82" t="s">
        <v>128</v>
      </c>
    </row>
    <row r="55" spans="1:7" ht="15" customHeight="1">
      <c r="A55" s="6" t="s">
        <v>15</v>
      </c>
      <c r="B55" s="5" t="s">
        <v>96</v>
      </c>
      <c r="C55" s="13">
        <f>1.75+2.1</f>
        <v>3.85</v>
      </c>
      <c r="D55" s="13" t="s">
        <v>31</v>
      </c>
      <c r="E55" s="18">
        <v>2350</v>
      </c>
      <c r="F55" s="4">
        <f>C55*E55</f>
        <v>9047.5</v>
      </c>
      <c r="G55" s="83"/>
    </row>
    <row r="56" spans="1:7" ht="15" customHeight="1">
      <c r="A56" s="6" t="s">
        <v>16</v>
      </c>
      <c r="B56" s="5" t="s">
        <v>100</v>
      </c>
      <c r="C56" s="13">
        <v>2</v>
      </c>
      <c r="D56" s="13" t="s">
        <v>80</v>
      </c>
      <c r="E56" s="18">
        <v>1250</v>
      </c>
      <c r="F56" s="4">
        <f t="shared" ref="F56:F63" si="4">C56*E56</f>
        <v>2500</v>
      </c>
      <c r="G56" s="83"/>
    </row>
    <row r="57" spans="1:7" ht="15" customHeight="1">
      <c r="A57" s="6" t="s">
        <v>17</v>
      </c>
      <c r="B57" s="5" t="s">
        <v>101</v>
      </c>
      <c r="C57" s="13">
        <v>7</v>
      </c>
      <c r="D57" s="13" t="s">
        <v>80</v>
      </c>
      <c r="E57" s="18">
        <v>275</v>
      </c>
      <c r="F57" s="4">
        <f t="shared" si="4"/>
        <v>1925</v>
      </c>
      <c r="G57" s="83"/>
    </row>
    <row r="58" spans="1:7" ht="15" customHeight="1">
      <c r="A58" s="6" t="s">
        <v>18</v>
      </c>
      <c r="B58" s="5" t="s">
        <v>102</v>
      </c>
      <c r="C58" s="13">
        <v>2</v>
      </c>
      <c r="D58" s="13" t="s">
        <v>80</v>
      </c>
      <c r="E58" s="18">
        <v>2950</v>
      </c>
      <c r="F58" s="4">
        <f t="shared" si="4"/>
        <v>5900</v>
      </c>
      <c r="G58" s="83"/>
    </row>
    <row r="59" spans="1:7" ht="15" customHeight="1">
      <c r="A59" s="6" t="s">
        <v>97</v>
      </c>
      <c r="B59" s="5" t="s">
        <v>103</v>
      </c>
      <c r="C59" s="13">
        <v>2</v>
      </c>
      <c r="D59" s="13" t="s">
        <v>80</v>
      </c>
      <c r="E59" s="18">
        <v>3000</v>
      </c>
      <c r="F59" s="4">
        <f t="shared" si="4"/>
        <v>6000</v>
      </c>
      <c r="G59" s="83"/>
    </row>
    <row r="60" spans="1:7" ht="15" customHeight="1">
      <c r="A60" s="6" t="s">
        <v>98</v>
      </c>
      <c r="B60" s="5" t="s">
        <v>106</v>
      </c>
      <c r="C60" s="13">
        <v>2</v>
      </c>
      <c r="D60" s="13" t="s">
        <v>80</v>
      </c>
      <c r="E60" s="18">
        <v>2000</v>
      </c>
      <c r="F60" s="4">
        <f t="shared" si="4"/>
        <v>4000</v>
      </c>
      <c r="G60" s="83"/>
    </row>
    <row r="61" spans="1:7" ht="15" customHeight="1">
      <c r="A61" s="6" t="s">
        <v>99</v>
      </c>
      <c r="B61" s="5" t="s">
        <v>107</v>
      </c>
      <c r="C61" s="13">
        <v>2</v>
      </c>
      <c r="D61" s="13" t="s">
        <v>80</v>
      </c>
      <c r="E61" s="18">
        <v>1750</v>
      </c>
      <c r="F61" s="4">
        <f t="shared" si="4"/>
        <v>3500</v>
      </c>
      <c r="G61" s="83"/>
    </row>
    <row r="62" spans="1:7" ht="15" customHeight="1">
      <c r="A62" s="6" t="s">
        <v>104</v>
      </c>
      <c r="B62" s="61" t="s">
        <v>108</v>
      </c>
      <c r="C62" s="13">
        <v>2</v>
      </c>
      <c r="D62" s="13" t="s">
        <v>32</v>
      </c>
      <c r="E62" s="18">
        <v>1350</v>
      </c>
      <c r="F62" s="4">
        <f t="shared" si="4"/>
        <v>2700</v>
      </c>
      <c r="G62" s="83"/>
    </row>
    <row r="63" spans="1:7" ht="15" customHeight="1">
      <c r="A63" s="6" t="s">
        <v>105</v>
      </c>
      <c r="B63" s="5" t="s">
        <v>109</v>
      </c>
      <c r="C63" s="13">
        <v>2</v>
      </c>
      <c r="D63" s="13" t="s">
        <v>32</v>
      </c>
      <c r="E63" s="18">
        <v>3500</v>
      </c>
      <c r="F63" s="4">
        <f t="shared" si="4"/>
        <v>7000</v>
      </c>
      <c r="G63" s="83"/>
    </row>
    <row r="64" spans="1:7" ht="15" customHeight="1">
      <c r="A64" s="6" t="s">
        <v>121</v>
      </c>
      <c r="B64" s="5" t="s">
        <v>122</v>
      </c>
      <c r="C64" s="13">
        <v>2</v>
      </c>
      <c r="D64" s="13" t="s">
        <v>32</v>
      </c>
      <c r="E64" s="18">
        <v>3250</v>
      </c>
      <c r="F64" s="4">
        <f t="shared" ref="F64" si="5">C64*E64</f>
        <v>6500</v>
      </c>
      <c r="G64" s="83"/>
    </row>
    <row r="65" spans="1:10" ht="15" customHeight="1">
      <c r="A65" s="6" t="s">
        <v>129</v>
      </c>
      <c r="B65" s="64" t="s">
        <v>132</v>
      </c>
      <c r="C65" s="13">
        <v>2</v>
      </c>
      <c r="D65" s="13" t="s">
        <v>32</v>
      </c>
      <c r="E65" s="18">
        <v>2000</v>
      </c>
      <c r="F65" s="4">
        <f t="shared" ref="F65" si="6">C65*E65</f>
        <v>4000</v>
      </c>
      <c r="G65" s="84"/>
    </row>
    <row r="66" spans="1:10" ht="24" customHeight="1">
      <c r="A66" s="6" t="s">
        <v>133</v>
      </c>
      <c r="B66" s="64" t="s">
        <v>134</v>
      </c>
      <c r="C66" s="13">
        <v>2</v>
      </c>
      <c r="D66" s="13" t="s">
        <v>32</v>
      </c>
      <c r="E66" s="18">
        <v>2500</v>
      </c>
      <c r="F66" s="4">
        <f t="shared" ref="F66" si="7">C66*E66</f>
        <v>5000</v>
      </c>
      <c r="G66" s="71"/>
    </row>
    <row r="67" spans="1:10">
      <c r="A67" s="2" t="s">
        <v>114</v>
      </c>
      <c r="B67" s="2" t="s">
        <v>113</v>
      </c>
      <c r="C67" s="10"/>
      <c r="D67" s="10"/>
      <c r="E67" s="9"/>
      <c r="F67" s="3"/>
      <c r="G67" s="24"/>
    </row>
    <row r="68" spans="1:10" ht="15">
      <c r="A68" s="6" t="s">
        <v>115</v>
      </c>
      <c r="B68" s="5" t="s">
        <v>118</v>
      </c>
      <c r="C68" s="13">
        <v>1</v>
      </c>
      <c r="D68" s="13" t="s">
        <v>32</v>
      </c>
      <c r="E68" s="18">
        <v>2000</v>
      </c>
      <c r="F68" s="4">
        <f>E68*C68</f>
        <v>2000</v>
      </c>
      <c r="G68" s="21"/>
    </row>
    <row r="69" spans="1:10" ht="15">
      <c r="A69" s="6" t="s">
        <v>116</v>
      </c>
      <c r="B69" s="5" t="s">
        <v>117</v>
      </c>
      <c r="C69" s="13">
        <v>1</v>
      </c>
      <c r="D69" s="13" t="s">
        <v>32</v>
      </c>
      <c r="E69" s="18">
        <v>1600</v>
      </c>
      <c r="F69" s="4">
        <f>E69*C69</f>
        <v>1600</v>
      </c>
      <c r="G69" s="21"/>
    </row>
    <row r="70" spans="1:10">
      <c r="A70" s="2" t="s">
        <v>137</v>
      </c>
      <c r="B70" s="2" t="s">
        <v>138</v>
      </c>
      <c r="C70" s="10"/>
      <c r="D70" s="10"/>
      <c r="E70" s="9"/>
      <c r="F70" s="3"/>
      <c r="G70" s="24"/>
    </row>
    <row r="71" spans="1:10" ht="15">
      <c r="A71" s="6" t="s">
        <v>139</v>
      </c>
      <c r="B71" s="72" t="s">
        <v>140</v>
      </c>
      <c r="C71" s="75">
        <v>0.03</v>
      </c>
      <c r="D71" s="73" t="s">
        <v>141</v>
      </c>
      <c r="E71" s="87">
        <f>SUM(F18:F69)</f>
        <v>229489.3241</v>
      </c>
      <c r="F71" s="4">
        <f>E71*C71</f>
        <v>6884.6797229999993</v>
      </c>
      <c r="G71" s="74"/>
    </row>
    <row r="72" spans="1:10" ht="29.25" customHeight="1">
      <c r="A72" s="63"/>
      <c r="B72" s="78" t="s">
        <v>110</v>
      </c>
      <c r="C72" s="78"/>
      <c r="D72" s="78"/>
      <c r="E72" s="78"/>
      <c r="F72" s="62">
        <f>SUM(F18:F71)</f>
        <v>236374.00382300001</v>
      </c>
      <c r="G72" s="68"/>
    </row>
    <row r="73" spans="1:10" ht="12.75" customHeight="1">
      <c r="A73" s="63"/>
      <c r="B73" s="78" t="s">
        <v>111</v>
      </c>
      <c r="C73" s="78"/>
      <c r="D73" s="78"/>
      <c r="E73" s="78"/>
      <c r="F73" s="62">
        <f>F72/66.5</f>
        <v>3554.4962980902255</v>
      </c>
      <c r="G73" s="68"/>
      <c r="I73" s="65"/>
      <c r="J73" s="65"/>
    </row>
    <row r="74" spans="1:10" ht="12.75" customHeight="1">
      <c r="F74" s="14"/>
      <c r="G74" s="15"/>
      <c r="I74" s="65"/>
      <c r="J74" s="65"/>
    </row>
    <row r="75" spans="1:10" ht="12.75" customHeight="1">
      <c r="F75" s="14"/>
      <c r="G75" s="15"/>
      <c r="I75" s="65"/>
      <c r="J75" s="65"/>
    </row>
    <row r="76" spans="1:10" ht="12.75" customHeight="1">
      <c r="F76" s="14"/>
      <c r="G76" s="15"/>
      <c r="I76" s="65"/>
      <c r="J76" s="65"/>
    </row>
    <row r="77" spans="1:10" ht="12.75" customHeight="1">
      <c r="F77" s="14"/>
      <c r="G77" s="15"/>
      <c r="I77" s="65"/>
      <c r="J77" s="65"/>
    </row>
    <row r="78" spans="1:10" ht="12.75" customHeight="1">
      <c r="F78" s="14"/>
      <c r="G78" s="15"/>
      <c r="I78" s="65"/>
      <c r="J78" s="65"/>
    </row>
    <row r="79" spans="1:10">
      <c r="F79" s="14"/>
      <c r="G79" s="15"/>
      <c r="I79" s="65"/>
      <c r="J79" s="65"/>
    </row>
    <row r="80" spans="1:10">
      <c r="F80" s="14"/>
      <c r="G80" s="15"/>
      <c r="I80" s="65"/>
      <c r="J80" s="65"/>
    </row>
    <row r="81" spans="6:10">
      <c r="F81" s="14"/>
      <c r="G81" s="15"/>
      <c r="I81" s="65"/>
      <c r="J81" s="65"/>
    </row>
    <row r="82" spans="6:10">
      <c r="F82" s="14"/>
      <c r="G82" s="15"/>
      <c r="I82" s="65"/>
      <c r="J82" s="65"/>
    </row>
    <row r="83" spans="6:10">
      <c r="F83" s="14"/>
      <c r="G83" s="15"/>
      <c r="I83" s="65"/>
      <c r="J83" s="65"/>
    </row>
    <row r="84" spans="6:10">
      <c r="F84" s="14"/>
      <c r="G84" s="15"/>
      <c r="I84" s="65"/>
      <c r="J84" s="65"/>
    </row>
    <row r="85" spans="6:10">
      <c r="F85" s="14"/>
      <c r="G85" s="15"/>
      <c r="I85" s="65"/>
      <c r="J85" s="65"/>
    </row>
    <row r="86" spans="6:10">
      <c r="F86" s="14"/>
      <c r="G86" s="15"/>
      <c r="I86" s="65"/>
      <c r="J86" s="65"/>
    </row>
    <row r="87" spans="6:10">
      <c r="F87" s="14"/>
      <c r="G87" s="15"/>
      <c r="I87" s="65"/>
      <c r="J87" s="65"/>
    </row>
    <row r="88" spans="6:10">
      <c r="F88" s="14"/>
      <c r="G88" s="15"/>
      <c r="I88" s="65"/>
      <c r="J88" s="65"/>
    </row>
    <row r="89" spans="6:10">
      <c r="F89" s="14"/>
      <c r="G89" s="15"/>
      <c r="I89" s="65"/>
      <c r="J89" s="65"/>
    </row>
    <row r="90" spans="6:10">
      <c r="F90" s="14"/>
      <c r="G90" s="15"/>
      <c r="I90" s="65"/>
      <c r="J90" s="65"/>
    </row>
    <row r="91" spans="6:10">
      <c r="F91" s="14"/>
      <c r="G91" s="15"/>
      <c r="I91" s="65"/>
      <c r="J91" s="65"/>
    </row>
    <row r="92" spans="6:10">
      <c r="F92" s="14"/>
      <c r="G92" s="15"/>
      <c r="I92" s="65"/>
      <c r="J92" s="65"/>
    </row>
    <row r="93" spans="6:10">
      <c r="F93" s="14"/>
      <c r="G93" s="15"/>
      <c r="I93" s="65"/>
      <c r="J93" s="65"/>
    </row>
    <row r="94" spans="6:10">
      <c r="F94" s="14"/>
      <c r="G94" s="15"/>
      <c r="I94" s="65"/>
      <c r="J94" s="65"/>
    </row>
    <row r="95" spans="6:10">
      <c r="F95" s="14"/>
      <c r="G95" s="15"/>
      <c r="I95" s="65"/>
      <c r="J95" s="65"/>
    </row>
    <row r="96" spans="6:10">
      <c r="F96" s="14"/>
      <c r="G96" s="15"/>
      <c r="I96" s="65"/>
      <c r="J96" s="65"/>
    </row>
    <row r="97" spans="6:10">
      <c r="F97" s="14"/>
      <c r="G97" s="15"/>
      <c r="I97" s="65"/>
      <c r="J97" s="65"/>
    </row>
    <row r="98" spans="6:10">
      <c r="F98" s="14"/>
      <c r="G98" s="15"/>
      <c r="I98" s="65"/>
      <c r="J98" s="65"/>
    </row>
    <row r="99" spans="6:10">
      <c r="F99" s="14"/>
      <c r="G99" s="15"/>
      <c r="I99" s="65"/>
      <c r="J99" s="65"/>
    </row>
    <row r="100" spans="6:10">
      <c r="F100" s="14"/>
      <c r="G100" s="15"/>
      <c r="I100" s="65"/>
      <c r="J100" s="65"/>
    </row>
    <row r="101" spans="6:10">
      <c r="F101" s="14"/>
      <c r="G101" s="15"/>
      <c r="I101" s="65"/>
      <c r="J101" s="65"/>
    </row>
    <row r="102" spans="6:10">
      <c r="F102" s="14"/>
      <c r="G102" s="15"/>
      <c r="I102" s="65"/>
      <c r="J102" s="65"/>
    </row>
    <row r="103" spans="6:10">
      <c r="F103" s="14"/>
      <c r="G103" s="15"/>
      <c r="I103" s="65"/>
      <c r="J103" s="65"/>
    </row>
    <row r="104" spans="6:10">
      <c r="F104" s="14"/>
      <c r="G104" s="15"/>
      <c r="I104" s="65"/>
      <c r="J104" s="65"/>
    </row>
    <row r="105" spans="6:10">
      <c r="F105" s="14"/>
      <c r="G105" s="15"/>
      <c r="I105" s="65"/>
      <c r="J105" s="65"/>
    </row>
    <row r="106" spans="6:10">
      <c r="F106" s="14"/>
      <c r="G106" s="15"/>
      <c r="I106" s="65"/>
      <c r="J106" s="65"/>
    </row>
    <row r="107" spans="6:10">
      <c r="F107" s="14"/>
      <c r="G107" s="15"/>
      <c r="I107" s="65"/>
      <c r="J107" s="65"/>
    </row>
    <row r="108" spans="6:10">
      <c r="F108" s="14"/>
      <c r="G108" s="15"/>
      <c r="I108" s="65"/>
      <c r="J108" s="65"/>
    </row>
    <row r="109" spans="6:10">
      <c r="F109" s="14"/>
      <c r="G109" s="15"/>
      <c r="I109" s="65"/>
      <c r="J109" s="65"/>
    </row>
    <row r="110" spans="6:10">
      <c r="F110" s="14"/>
      <c r="G110" s="15"/>
      <c r="I110" s="65"/>
      <c r="J110" s="65"/>
    </row>
    <row r="111" spans="6:10">
      <c r="F111" s="14"/>
      <c r="G111" s="15"/>
      <c r="I111" s="65"/>
      <c r="J111" s="65"/>
    </row>
    <row r="112" spans="6:10">
      <c r="F112" s="14"/>
      <c r="G112" s="15"/>
      <c r="I112" s="65"/>
      <c r="J112" s="65"/>
    </row>
    <row r="113" spans="6:10">
      <c r="F113" s="14"/>
      <c r="G113" s="15"/>
      <c r="I113" s="65"/>
      <c r="J113" s="65"/>
    </row>
    <row r="114" spans="6:10">
      <c r="F114" s="14"/>
      <c r="G114" s="15"/>
      <c r="I114" s="65"/>
      <c r="J114" s="65"/>
    </row>
    <row r="115" spans="6:10">
      <c r="F115" s="14"/>
      <c r="G115" s="15"/>
      <c r="I115" s="65"/>
      <c r="J115" s="65"/>
    </row>
    <row r="116" spans="6:10">
      <c r="F116" s="14"/>
      <c r="G116" s="15"/>
      <c r="I116" s="65"/>
      <c r="J116" s="65"/>
    </row>
    <row r="117" spans="6:10">
      <c r="F117" s="14"/>
      <c r="G117" s="15"/>
      <c r="I117" s="65"/>
      <c r="J117" s="65"/>
    </row>
    <row r="118" spans="6:10">
      <c r="F118" s="14"/>
      <c r="G118" s="15"/>
      <c r="I118" s="65"/>
      <c r="J118" s="65"/>
    </row>
    <row r="119" spans="6:10">
      <c r="F119" s="14"/>
      <c r="G119" s="15"/>
      <c r="I119" s="65"/>
      <c r="J119" s="65"/>
    </row>
    <row r="120" spans="6:10">
      <c r="F120" s="14"/>
      <c r="G120" s="15"/>
      <c r="I120" s="65"/>
      <c r="J120" s="65"/>
    </row>
    <row r="121" spans="6:10">
      <c r="F121" s="14"/>
      <c r="G121" s="15"/>
      <c r="I121" s="65"/>
      <c r="J121" s="65"/>
    </row>
    <row r="122" spans="6:10">
      <c r="F122" s="14"/>
      <c r="G122" s="15"/>
      <c r="I122" s="65"/>
      <c r="J122" s="65"/>
    </row>
    <row r="123" spans="6:10">
      <c r="F123" s="14"/>
      <c r="G123" s="15"/>
      <c r="I123" s="65"/>
      <c r="J123" s="65"/>
    </row>
    <row r="124" spans="6:10">
      <c r="F124" s="14"/>
      <c r="G124" s="15"/>
      <c r="I124" s="65"/>
      <c r="J124" s="65"/>
    </row>
    <row r="125" spans="6:10">
      <c r="F125" s="14"/>
      <c r="G125" s="15"/>
      <c r="I125" s="65"/>
      <c r="J125" s="65"/>
    </row>
    <row r="126" spans="6:10">
      <c r="F126" s="14"/>
      <c r="G126" s="15"/>
      <c r="I126" s="65"/>
      <c r="J126" s="65"/>
    </row>
    <row r="127" spans="6:10">
      <c r="F127" s="14"/>
      <c r="G127" s="15"/>
      <c r="I127" s="65"/>
      <c r="J127" s="65"/>
    </row>
    <row r="128" spans="6:10">
      <c r="F128" s="14"/>
      <c r="G128" s="15"/>
      <c r="I128" s="65"/>
      <c r="J128" s="65"/>
    </row>
    <row r="129" spans="6:10">
      <c r="F129" s="14"/>
      <c r="G129" s="15"/>
      <c r="I129" s="65"/>
      <c r="J129" s="65"/>
    </row>
    <row r="130" spans="6:10">
      <c r="F130" s="14"/>
      <c r="G130" s="15"/>
      <c r="I130" s="65"/>
      <c r="J130" s="65"/>
    </row>
    <row r="131" spans="6:10">
      <c r="F131" s="14"/>
      <c r="G131" s="15"/>
      <c r="I131" s="65"/>
      <c r="J131" s="65"/>
    </row>
    <row r="132" spans="6:10">
      <c r="F132" s="14"/>
      <c r="G132" s="15"/>
      <c r="I132" s="65"/>
      <c r="J132" s="65"/>
    </row>
    <row r="133" spans="6:10">
      <c r="F133" s="14"/>
      <c r="G133" s="15"/>
      <c r="I133" s="65"/>
      <c r="J133" s="65"/>
    </row>
    <row r="134" spans="6:10">
      <c r="F134" s="14"/>
      <c r="G134" s="15"/>
      <c r="I134" s="65"/>
      <c r="J134" s="65"/>
    </row>
    <row r="135" spans="6:10">
      <c r="F135" s="14"/>
      <c r="G135" s="15"/>
      <c r="I135" s="65"/>
      <c r="J135" s="65"/>
    </row>
    <row r="136" spans="6:10">
      <c r="F136" s="14"/>
      <c r="G136" s="15"/>
      <c r="I136" s="65"/>
      <c r="J136" s="65"/>
    </row>
    <row r="137" spans="6:10">
      <c r="F137" s="14"/>
      <c r="G137" s="15"/>
      <c r="I137" s="65"/>
      <c r="J137" s="65"/>
    </row>
    <row r="138" spans="6:10">
      <c r="F138" s="14"/>
      <c r="G138" s="15"/>
      <c r="I138" s="65"/>
      <c r="J138" s="65"/>
    </row>
    <row r="139" spans="6:10">
      <c r="F139" s="14"/>
      <c r="G139" s="15"/>
      <c r="I139" s="65"/>
      <c r="J139" s="65"/>
    </row>
    <row r="140" spans="6:10">
      <c r="F140" s="14"/>
      <c r="G140" s="15"/>
      <c r="I140" s="65"/>
      <c r="J140" s="65"/>
    </row>
    <row r="141" spans="6:10">
      <c r="F141" s="14"/>
      <c r="G141" s="15"/>
      <c r="I141" s="65"/>
      <c r="J141" s="65"/>
    </row>
    <row r="142" spans="6:10">
      <c r="F142" s="14"/>
      <c r="G142" s="15"/>
      <c r="I142" s="65"/>
      <c r="J142" s="65"/>
    </row>
    <row r="143" spans="6:10">
      <c r="F143" s="14"/>
      <c r="G143" s="15"/>
      <c r="I143" s="65"/>
      <c r="J143" s="65"/>
    </row>
    <row r="144" spans="6:10">
      <c r="F144" s="14"/>
      <c r="G144" s="15"/>
      <c r="I144" s="65"/>
      <c r="J144" s="65"/>
    </row>
    <row r="145" spans="6:10">
      <c r="F145" s="14"/>
      <c r="G145" s="15"/>
      <c r="I145" s="65"/>
      <c r="J145" s="65"/>
    </row>
    <row r="146" spans="6:10">
      <c r="F146" s="14"/>
      <c r="G146" s="15"/>
      <c r="I146" s="65"/>
      <c r="J146" s="65"/>
    </row>
    <row r="147" spans="6:10">
      <c r="F147" s="14"/>
      <c r="G147" s="15"/>
      <c r="I147" s="65"/>
      <c r="J147" s="65"/>
    </row>
    <row r="148" spans="6:10">
      <c r="F148" s="14"/>
      <c r="G148" s="15"/>
      <c r="I148" s="65"/>
      <c r="J148" s="65"/>
    </row>
    <row r="149" spans="6:10">
      <c r="F149" s="14"/>
      <c r="G149" s="15"/>
      <c r="I149" s="65"/>
      <c r="J149" s="65"/>
    </row>
    <row r="150" spans="6:10">
      <c r="F150" s="14"/>
      <c r="G150" s="15"/>
      <c r="I150" s="65"/>
      <c r="J150" s="65"/>
    </row>
    <row r="151" spans="6:10">
      <c r="F151" s="14"/>
      <c r="G151" s="15"/>
      <c r="I151" s="65"/>
      <c r="J151" s="65"/>
    </row>
    <row r="152" spans="6:10">
      <c r="F152" s="14"/>
      <c r="G152" s="15"/>
      <c r="I152" s="65"/>
      <c r="J152" s="65"/>
    </row>
    <row r="153" spans="6:10">
      <c r="F153" s="14"/>
      <c r="G153" s="15"/>
      <c r="I153" s="65"/>
      <c r="J153" s="65"/>
    </row>
    <row r="154" spans="6:10">
      <c r="F154" s="14"/>
      <c r="G154" s="15"/>
      <c r="I154" s="65"/>
      <c r="J154" s="65"/>
    </row>
    <row r="155" spans="6:10">
      <c r="F155" s="14"/>
      <c r="G155" s="15"/>
      <c r="I155" s="65"/>
      <c r="J155" s="65"/>
    </row>
    <row r="156" spans="6:10">
      <c r="F156" s="14"/>
      <c r="G156" s="15"/>
      <c r="I156" s="65"/>
      <c r="J156" s="65"/>
    </row>
    <row r="157" spans="6:10">
      <c r="F157" s="14"/>
      <c r="G157" s="15"/>
      <c r="I157" s="65"/>
      <c r="J157" s="65"/>
    </row>
    <row r="158" spans="6:10">
      <c r="F158" s="14"/>
      <c r="G158" s="15"/>
      <c r="I158" s="65"/>
      <c r="J158" s="65"/>
    </row>
    <row r="159" spans="6:10">
      <c r="F159" s="14"/>
      <c r="G159" s="15"/>
      <c r="I159" s="65"/>
      <c r="J159" s="65"/>
    </row>
    <row r="160" spans="6:10">
      <c r="F160" s="14"/>
      <c r="G160" s="15"/>
      <c r="I160" s="65"/>
      <c r="J160" s="65"/>
    </row>
    <row r="161" spans="6:10">
      <c r="F161" s="14"/>
      <c r="G161" s="15"/>
      <c r="I161" s="65"/>
      <c r="J161" s="65"/>
    </row>
    <row r="162" spans="6:10">
      <c r="F162" s="14"/>
      <c r="G162" s="15"/>
      <c r="I162" s="65"/>
      <c r="J162" s="65"/>
    </row>
    <row r="163" spans="6:10">
      <c r="F163" s="14"/>
      <c r="G163" s="15"/>
      <c r="I163" s="65"/>
      <c r="J163" s="65"/>
    </row>
    <row r="164" spans="6:10">
      <c r="F164" s="14"/>
      <c r="G164" s="15"/>
      <c r="I164" s="65"/>
      <c r="J164" s="65"/>
    </row>
    <row r="165" spans="6:10">
      <c r="F165" s="14"/>
      <c r="G165" s="15"/>
      <c r="I165" s="65"/>
      <c r="J165" s="65"/>
    </row>
    <row r="166" spans="6:10">
      <c r="F166" s="14"/>
      <c r="G166" s="15"/>
      <c r="I166" s="65"/>
      <c r="J166" s="65"/>
    </row>
    <row r="167" spans="6:10">
      <c r="F167" s="14"/>
      <c r="G167" s="15"/>
      <c r="I167" s="65"/>
      <c r="J167" s="65"/>
    </row>
    <row r="168" spans="6:10">
      <c r="F168" s="14"/>
      <c r="G168" s="15"/>
      <c r="I168" s="65"/>
      <c r="J168" s="65"/>
    </row>
    <row r="169" spans="6:10">
      <c r="F169" s="14"/>
      <c r="G169" s="15"/>
      <c r="I169" s="65"/>
      <c r="J169" s="65"/>
    </row>
    <row r="170" spans="6:10">
      <c r="F170" s="14"/>
      <c r="G170" s="15"/>
      <c r="I170" s="65"/>
      <c r="J170" s="65"/>
    </row>
    <row r="171" spans="6:10">
      <c r="F171" s="14"/>
      <c r="G171" s="15"/>
      <c r="I171" s="65"/>
      <c r="J171" s="65"/>
    </row>
    <row r="172" spans="6:10">
      <c r="F172" s="14"/>
      <c r="G172" s="15"/>
      <c r="I172" s="65"/>
      <c r="J172" s="65"/>
    </row>
    <row r="173" spans="6:10">
      <c r="F173" s="14"/>
      <c r="G173" s="15"/>
      <c r="I173" s="65"/>
      <c r="J173" s="65"/>
    </row>
    <row r="174" spans="6:10">
      <c r="F174" s="14"/>
      <c r="G174" s="15"/>
      <c r="I174" s="65"/>
      <c r="J174" s="65"/>
    </row>
    <row r="175" spans="6:10">
      <c r="F175" s="14"/>
      <c r="G175" s="15"/>
      <c r="I175" s="65"/>
      <c r="J175" s="65"/>
    </row>
    <row r="176" spans="6:10">
      <c r="F176" s="14"/>
      <c r="G176" s="15"/>
      <c r="I176" s="65"/>
      <c r="J176" s="65"/>
    </row>
    <row r="177" spans="6:10">
      <c r="F177" s="14"/>
      <c r="G177" s="15"/>
      <c r="I177" s="65"/>
      <c r="J177" s="65"/>
    </row>
    <row r="178" spans="6:10">
      <c r="F178" s="14"/>
      <c r="G178" s="15"/>
      <c r="I178" s="65"/>
      <c r="J178" s="65"/>
    </row>
    <row r="179" spans="6:10">
      <c r="F179" s="14"/>
      <c r="G179" s="15"/>
      <c r="I179" s="65"/>
      <c r="J179" s="65"/>
    </row>
    <row r="180" spans="6:10">
      <c r="F180" s="14"/>
      <c r="G180" s="15"/>
      <c r="I180" s="65"/>
      <c r="J180" s="65"/>
    </row>
    <row r="181" spans="6:10">
      <c r="F181" s="14"/>
      <c r="G181" s="15"/>
      <c r="I181" s="65"/>
      <c r="J181" s="65"/>
    </row>
    <row r="182" spans="6:10">
      <c r="F182" s="14"/>
      <c r="G182" s="15"/>
      <c r="I182" s="65"/>
      <c r="J182" s="65"/>
    </row>
    <row r="183" spans="6:10">
      <c r="F183" s="14"/>
      <c r="G183" s="15"/>
      <c r="I183" s="65"/>
      <c r="J183" s="65"/>
    </row>
    <row r="184" spans="6:10">
      <c r="F184" s="14"/>
      <c r="G184" s="15"/>
      <c r="I184" s="65"/>
      <c r="J184" s="65"/>
    </row>
    <row r="185" spans="6:10">
      <c r="F185" s="14"/>
      <c r="G185" s="15"/>
      <c r="I185" s="65"/>
      <c r="J185" s="65"/>
    </row>
    <row r="186" spans="6:10">
      <c r="F186" s="14"/>
      <c r="G186" s="15"/>
      <c r="I186" s="65"/>
      <c r="J186" s="65"/>
    </row>
    <row r="187" spans="6:10">
      <c r="F187" s="14"/>
      <c r="G187" s="15"/>
      <c r="I187" s="65"/>
      <c r="J187" s="65"/>
    </row>
    <row r="188" spans="6:10">
      <c r="F188" s="14"/>
      <c r="G188" s="15"/>
      <c r="I188" s="65"/>
      <c r="J188" s="65"/>
    </row>
    <row r="189" spans="6:10">
      <c r="F189" s="14"/>
      <c r="G189" s="15"/>
      <c r="I189" s="65"/>
      <c r="J189" s="65"/>
    </row>
    <row r="190" spans="6:10">
      <c r="F190" s="14"/>
      <c r="G190" s="15"/>
      <c r="I190" s="65"/>
      <c r="J190" s="65"/>
    </row>
    <row r="191" spans="6:10">
      <c r="F191" s="14"/>
      <c r="G191" s="15"/>
      <c r="I191" s="65"/>
      <c r="J191" s="65"/>
    </row>
    <row r="192" spans="6:10">
      <c r="F192" s="14"/>
      <c r="G192" s="15"/>
      <c r="I192" s="65"/>
      <c r="J192" s="65"/>
    </row>
    <row r="193" spans="6:10">
      <c r="F193" s="14"/>
      <c r="G193" s="15"/>
      <c r="I193" s="65"/>
      <c r="J193" s="65"/>
    </row>
    <row r="194" spans="6:10">
      <c r="F194" s="14"/>
      <c r="G194" s="15"/>
      <c r="I194" s="65"/>
      <c r="J194" s="65"/>
    </row>
    <row r="195" spans="6:10">
      <c r="F195" s="14"/>
      <c r="G195" s="15"/>
      <c r="I195" s="65"/>
      <c r="J195" s="65"/>
    </row>
    <row r="196" spans="6:10">
      <c r="F196" s="14"/>
      <c r="G196" s="15"/>
      <c r="I196" s="65"/>
      <c r="J196" s="65"/>
    </row>
    <row r="197" spans="6:10">
      <c r="F197" s="14"/>
      <c r="G197" s="15"/>
      <c r="I197" s="65"/>
      <c r="J197" s="65"/>
    </row>
    <row r="198" spans="6:10">
      <c r="F198" s="14"/>
      <c r="G198" s="15"/>
      <c r="I198" s="65"/>
      <c r="J198" s="65"/>
    </row>
    <row r="199" spans="6:10">
      <c r="F199" s="14"/>
      <c r="G199" s="15"/>
      <c r="I199" s="65"/>
      <c r="J199" s="65"/>
    </row>
    <row r="200" spans="6:10">
      <c r="F200" s="14"/>
      <c r="G200" s="15"/>
      <c r="I200" s="65"/>
      <c r="J200" s="65"/>
    </row>
    <row r="201" spans="6:10">
      <c r="F201" s="14"/>
      <c r="G201" s="15"/>
      <c r="I201" s="65"/>
      <c r="J201" s="65"/>
    </row>
    <row r="202" spans="6:10">
      <c r="F202" s="14"/>
      <c r="G202" s="15"/>
      <c r="I202" s="65"/>
      <c r="J202" s="65"/>
    </row>
    <row r="203" spans="6:10">
      <c r="F203" s="14"/>
      <c r="G203" s="15"/>
      <c r="I203" s="65"/>
      <c r="J203" s="65"/>
    </row>
    <row r="204" spans="6:10">
      <c r="F204" s="14"/>
      <c r="G204" s="15"/>
      <c r="I204" s="65"/>
      <c r="J204" s="65"/>
    </row>
    <row r="205" spans="6:10">
      <c r="F205" s="14"/>
      <c r="G205" s="15"/>
      <c r="I205" s="65"/>
      <c r="J205" s="65"/>
    </row>
    <row r="206" spans="6:10">
      <c r="F206" s="14"/>
      <c r="G206" s="15"/>
      <c r="I206" s="65"/>
      <c r="J206" s="65"/>
    </row>
    <row r="207" spans="6:10">
      <c r="F207" s="14"/>
      <c r="G207" s="15"/>
      <c r="I207" s="65"/>
      <c r="J207" s="65"/>
    </row>
    <row r="208" spans="6:10">
      <c r="F208" s="14"/>
      <c r="G208" s="15"/>
      <c r="I208" s="65"/>
      <c r="J208" s="65"/>
    </row>
    <row r="209" spans="6:10">
      <c r="F209" s="14"/>
      <c r="G209" s="15"/>
      <c r="I209" s="65"/>
      <c r="J209" s="65"/>
    </row>
    <row r="210" spans="6:10">
      <c r="F210" s="14"/>
      <c r="G210" s="15"/>
      <c r="I210" s="65"/>
      <c r="J210" s="65"/>
    </row>
    <row r="211" spans="6:10">
      <c r="F211" s="14"/>
      <c r="G211" s="15"/>
      <c r="I211" s="65"/>
      <c r="J211" s="65"/>
    </row>
    <row r="212" spans="6:10">
      <c r="F212" s="14"/>
      <c r="G212" s="15"/>
      <c r="I212" s="65"/>
      <c r="J212" s="65"/>
    </row>
    <row r="213" spans="6:10">
      <c r="F213" s="14"/>
      <c r="G213" s="15"/>
      <c r="I213" s="65"/>
      <c r="J213" s="65"/>
    </row>
    <row r="214" spans="6:10">
      <c r="F214" s="14"/>
      <c r="G214" s="15"/>
      <c r="I214" s="65"/>
      <c r="J214" s="65"/>
    </row>
    <row r="215" spans="6:10">
      <c r="F215" s="14"/>
      <c r="G215" s="15"/>
      <c r="I215" s="65"/>
      <c r="J215" s="65"/>
    </row>
    <row r="216" spans="6:10">
      <c r="F216" s="14"/>
      <c r="G216" s="15"/>
      <c r="I216" s="65"/>
      <c r="J216" s="65"/>
    </row>
    <row r="217" spans="6:10">
      <c r="F217" s="14"/>
      <c r="G217" s="15"/>
      <c r="I217" s="65"/>
      <c r="J217" s="65"/>
    </row>
    <row r="218" spans="6:10">
      <c r="F218" s="14"/>
      <c r="G218" s="15"/>
      <c r="I218" s="65"/>
      <c r="J218" s="65"/>
    </row>
    <row r="219" spans="6:10">
      <c r="F219" s="14"/>
      <c r="G219" s="15"/>
      <c r="I219" s="65"/>
      <c r="J219" s="65"/>
    </row>
    <row r="220" spans="6:10">
      <c r="F220" s="14"/>
      <c r="G220" s="15"/>
      <c r="I220" s="65"/>
      <c r="J220" s="65"/>
    </row>
    <row r="221" spans="6:10">
      <c r="F221" s="14"/>
      <c r="G221" s="15"/>
      <c r="I221" s="65"/>
      <c r="J221" s="65"/>
    </row>
    <row r="222" spans="6:10">
      <c r="F222" s="14"/>
      <c r="G222" s="15"/>
      <c r="I222" s="65"/>
      <c r="J222" s="65"/>
    </row>
    <row r="223" spans="6:10">
      <c r="F223" s="14"/>
      <c r="G223" s="15"/>
      <c r="I223" s="65"/>
      <c r="J223" s="65"/>
    </row>
    <row r="224" spans="6:10">
      <c r="F224" s="14"/>
      <c r="G224" s="15"/>
      <c r="I224" s="65"/>
      <c r="J224" s="65"/>
    </row>
    <row r="225" spans="6:10">
      <c r="F225" s="14"/>
      <c r="G225" s="15"/>
      <c r="I225" s="65"/>
      <c r="J225" s="65"/>
    </row>
    <row r="226" spans="6:10">
      <c r="F226" s="14"/>
      <c r="G226" s="15"/>
      <c r="I226" s="65"/>
      <c r="J226" s="65"/>
    </row>
    <row r="227" spans="6:10">
      <c r="F227" s="14"/>
      <c r="G227" s="15"/>
      <c r="I227" s="65"/>
      <c r="J227" s="65"/>
    </row>
    <row r="228" spans="6:10">
      <c r="F228" s="14"/>
      <c r="G228" s="15"/>
      <c r="I228" s="65"/>
      <c r="J228" s="65"/>
    </row>
    <row r="229" spans="6:10">
      <c r="F229" s="14"/>
      <c r="G229" s="15"/>
      <c r="I229" s="65"/>
      <c r="J229" s="65"/>
    </row>
    <row r="230" spans="6:10">
      <c r="F230" s="14"/>
      <c r="G230" s="15"/>
      <c r="I230" s="65"/>
      <c r="J230" s="65"/>
    </row>
    <row r="231" spans="6:10">
      <c r="F231" s="14"/>
      <c r="G231" s="15"/>
      <c r="I231" s="65"/>
      <c r="J231" s="65"/>
    </row>
    <row r="232" spans="6:10">
      <c r="F232" s="14"/>
      <c r="G232" s="15"/>
      <c r="I232" s="65"/>
      <c r="J232" s="65"/>
    </row>
    <row r="233" spans="6:10">
      <c r="F233" s="14"/>
      <c r="G233" s="15"/>
      <c r="I233" s="65"/>
      <c r="J233" s="65"/>
    </row>
    <row r="234" spans="6:10">
      <c r="F234" s="14"/>
      <c r="G234" s="15"/>
      <c r="I234" s="65"/>
      <c r="J234" s="65"/>
    </row>
    <row r="235" spans="6:10">
      <c r="F235" s="14"/>
      <c r="G235" s="15"/>
      <c r="I235" s="65"/>
      <c r="J235" s="65"/>
    </row>
    <row r="236" spans="6:10">
      <c r="F236" s="14"/>
      <c r="G236" s="15"/>
      <c r="I236" s="65"/>
      <c r="J236" s="65"/>
    </row>
    <row r="237" spans="6:10">
      <c r="F237" s="14"/>
      <c r="G237" s="15"/>
      <c r="I237" s="65"/>
      <c r="J237" s="65"/>
    </row>
    <row r="238" spans="6:10">
      <c r="F238" s="14"/>
      <c r="G238" s="15"/>
      <c r="I238" s="65"/>
      <c r="J238" s="65"/>
    </row>
    <row r="239" spans="6:10">
      <c r="F239" s="14"/>
      <c r="G239" s="15"/>
      <c r="I239" s="65"/>
      <c r="J239" s="65"/>
    </row>
    <row r="240" spans="6:10">
      <c r="F240" s="14"/>
      <c r="G240" s="15"/>
      <c r="I240" s="65"/>
      <c r="J240" s="65"/>
    </row>
    <row r="241" spans="6:10">
      <c r="F241" s="14"/>
      <c r="G241" s="15"/>
      <c r="I241" s="65"/>
      <c r="J241" s="65"/>
    </row>
    <row r="242" spans="6:10">
      <c r="F242" s="14"/>
      <c r="G242" s="15"/>
      <c r="I242" s="65"/>
      <c r="J242" s="65"/>
    </row>
    <row r="243" spans="6:10">
      <c r="F243" s="14"/>
      <c r="G243" s="15"/>
      <c r="I243" s="65"/>
      <c r="J243" s="65"/>
    </row>
    <row r="244" spans="6:10">
      <c r="F244" s="14"/>
      <c r="G244" s="15"/>
      <c r="I244" s="65"/>
      <c r="J244" s="65"/>
    </row>
    <row r="245" spans="6:10">
      <c r="F245" s="14"/>
      <c r="G245" s="15"/>
      <c r="I245" s="65"/>
      <c r="J245" s="65"/>
    </row>
    <row r="246" spans="6:10">
      <c r="F246" s="14"/>
      <c r="G246" s="15"/>
      <c r="I246" s="65"/>
      <c r="J246" s="65"/>
    </row>
    <row r="247" spans="6:10">
      <c r="F247" s="14"/>
      <c r="G247" s="15"/>
      <c r="I247" s="65"/>
      <c r="J247" s="65"/>
    </row>
    <row r="248" spans="6:10">
      <c r="F248" s="14"/>
      <c r="G248" s="15"/>
      <c r="I248" s="65"/>
      <c r="J248" s="65"/>
    </row>
    <row r="249" spans="6:10">
      <c r="F249" s="14"/>
      <c r="G249" s="15"/>
      <c r="I249" s="65"/>
      <c r="J249" s="65"/>
    </row>
    <row r="250" spans="6:10">
      <c r="F250" s="14"/>
      <c r="G250" s="15"/>
      <c r="I250" s="65"/>
      <c r="J250" s="65"/>
    </row>
    <row r="251" spans="6:10">
      <c r="F251" s="14"/>
      <c r="G251" s="15"/>
      <c r="I251" s="65"/>
      <c r="J251" s="65"/>
    </row>
    <row r="252" spans="6:10">
      <c r="F252" s="14"/>
      <c r="G252" s="15"/>
      <c r="I252" s="65"/>
      <c r="J252" s="65"/>
    </row>
    <row r="253" spans="6:10">
      <c r="F253" s="14"/>
      <c r="G253" s="15"/>
      <c r="I253" s="65"/>
      <c r="J253" s="65"/>
    </row>
    <row r="254" spans="6:10">
      <c r="F254" s="14"/>
      <c r="G254" s="15"/>
      <c r="I254" s="65"/>
      <c r="J254" s="65"/>
    </row>
    <row r="255" spans="6:10">
      <c r="F255" s="14"/>
      <c r="G255" s="15"/>
      <c r="I255" s="65"/>
      <c r="J255" s="65"/>
    </row>
    <row r="256" spans="6:10">
      <c r="F256" s="14"/>
      <c r="G256" s="15"/>
      <c r="I256" s="65"/>
      <c r="J256" s="65"/>
    </row>
    <row r="257" spans="6:10">
      <c r="F257" s="14"/>
      <c r="G257" s="15"/>
      <c r="I257" s="65"/>
      <c r="J257" s="65"/>
    </row>
    <row r="258" spans="6:10">
      <c r="F258" s="14"/>
      <c r="G258" s="15"/>
      <c r="I258" s="65"/>
      <c r="J258" s="65"/>
    </row>
    <row r="259" spans="6:10">
      <c r="F259" s="14"/>
      <c r="G259" s="15"/>
      <c r="I259" s="65"/>
      <c r="J259" s="65"/>
    </row>
    <row r="260" spans="6:10">
      <c r="F260" s="14"/>
      <c r="G260" s="15"/>
      <c r="I260" s="65"/>
      <c r="J260" s="65"/>
    </row>
    <row r="261" spans="6:10">
      <c r="F261" s="14"/>
      <c r="G261" s="15"/>
      <c r="I261" s="65"/>
      <c r="J261" s="65"/>
    </row>
    <row r="262" spans="6:10">
      <c r="F262" s="14"/>
      <c r="G262" s="15"/>
      <c r="I262" s="65"/>
      <c r="J262" s="65"/>
    </row>
    <row r="263" spans="6:10">
      <c r="F263" s="14"/>
      <c r="G263" s="15"/>
      <c r="I263" s="65"/>
      <c r="J263" s="65"/>
    </row>
    <row r="264" spans="6:10">
      <c r="F264" s="14"/>
      <c r="G264" s="15"/>
      <c r="I264" s="65"/>
      <c r="J264" s="65"/>
    </row>
    <row r="265" spans="6:10">
      <c r="F265" s="14"/>
      <c r="G265" s="15"/>
      <c r="I265" s="65"/>
      <c r="J265" s="65"/>
    </row>
    <row r="266" spans="6:10">
      <c r="F266" s="14"/>
      <c r="G266" s="15"/>
      <c r="I266" s="65"/>
      <c r="J266" s="65"/>
    </row>
    <row r="267" spans="6:10">
      <c r="F267" s="14"/>
      <c r="G267" s="15"/>
      <c r="I267" s="65"/>
      <c r="J267" s="65"/>
    </row>
    <row r="268" spans="6:10">
      <c r="F268" s="14"/>
      <c r="G268" s="15"/>
      <c r="I268" s="65"/>
      <c r="J268" s="65"/>
    </row>
    <row r="269" spans="6:10">
      <c r="F269" s="14"/>
      <c r="G269" s="15"/>
      <c r="I269" s="65"/>
      <c r="J269" s="65"/>
    </row>
    <row r="270" spans="6:10">
      <c r="F270" s="14"/>
      <c r="G270" s="15"/>
      <c r="I270" s="65"/>
      <c r="J270" s="65"/>
    </row>
    <row r="271" spans="6:10">
      <c r="F271" s="14"/>
      <c r="G271" s="15"/>
      <c r="I271" s="65"/>
      <c r="J271" s="65"/>
    </row>
    <row r="272" spans="6:10">
      <c r="F272" s="14"/>
      <c r="G272" s="15"/>
      <c r="I272" s="65"/>
      <c r="J272" s="65"/>
    </row>
    <row r="273" spans="6:10">
      <c r="F273" s="14"/>
      <c r="G273" s="15"/>
      <c r="I273" s="65"/>
      <c r="J273" s="65"/>
    </row>
    <row r="274" spans="6:10">
      <c r="F274" s="14"/>
      <c r="G274" s="15"/>
      <c r="I274" s="65"/>
      <c r="J274" s="65"/>
    </row>
    <row r="275" spans="6:10">
      <c r="F275" s="14"/>
      <c r="G275" s="15"/>
      <c r="I275" s="65"/>
      <c r="J275" s="65"/>
    </row>
    <row r="276" spans="6:10">
      <c r="F276" s="14"/>
      <c r="G276" s="15"/>
      <c r="I276" s="65"/>
      <c r="J276" s="65"/>
    </row>
    <row r="277" spans="6:10">
      <c r="F277" s="14"/>
      <c r="G277" s="15"/>
      <c r="I277" s="65"/>
      <c r="J277" s="65"/>
    </row>
    <row r="278" spans="6:10">
      <c r="F278" s="14"/>
      <c r="G278" s="15"/>
      <c r="I278" s="65"/>
      <c r="J278" s="65"/>
    </row>
    <row r="279" spans="6:10">
      <c r="F279" s="14"/>
      <c r="G279" s="15"/>
      <c r="I279" s="65"/>
      <c r="J279" s="65"/>
    </row>
    <row r="280" spans="6:10">
      <c r="F280" s="14"/>
      <c r="G280" s="15"/>
      <c r="I280" s="65"/>
      <c r="J280" s="65"/>
    </row>
    <row r="281" spans="6:10">
      <c r="F281" s="14"/>
      <c r="G281" s="15"/>
      <c r="I281" s="65"/>
      <c r="J281" s="65"/>
    </row>
    <row r="282" spans="6:10">
      <c r="F282" s="14"/>
      <c r="G282" s="15"/>
      <c r="I282" s="65"/>
      <c r="J282" s="65"/>
    </row>
    <row r="283" spans="6:10">
      <c r="F283" s="14"/>
      <c r="G283" s="15"/>
      <c r="I283" s="65"/>
      <c r="J283" s="65"/>
    </row>
    <row r="284" spans="6:10">
      <c r="F284" s="14"/>
      <c r="G284" s="15"/>
      <c r="I284" s="65"/>
      <c r="J284" s="65"/>
    </row>
    <row r="285" spans="6:10">
      <c r="F285" s="14"/>
      <c r="G285" s="15"/>
      <c r="I285" s="65"/>
      <c r="J285" s="65"/>
    </row>
    <row r="286" spans="6:10">
      <c r="F286" s="14"/>
      <c r="G286" s="15"/>
      <c r="I286" s="65"/>
      <c r="J286" s="65"/>
    </row>
    <row r="287" spans="6:10">
      <c r="F287" s="14"/>
      <c r="G287" s="15"/>
      <c r="I287" s="65"/>
      <c r="J287" s="65"/>
    </row>
    <row r="288" spans="6:10">
      <c r="F288" s="14"/>
      <c r="G288" s="15"/>
      <c r="I288" s="65"/>
      <c r="J288" s="65"/>
    </row>
    <row r="289" spans="6:10">
      <c r="F289" s="14"/>
      <c r="G289" s="15"/>
      <c r="I289" s="65"/>
      <c r="J289" s="65"/>
    </row>
    <row r="290" spans="6:10">
      <c r="F290" s="14"/>
      <c r="G290" s="15"/>
      <c r="I290" s="65"/>
      <c r="J290" s="65"/>
    </row>
    <row r="291" spans="6:10">
      <c r="F291" s="14"/>
      <c r="G291" s="15"/>
      <c r="I291" s="65"/>
      <c r="J291" s="65"/>
    </row>
    <row r="292" spans="6:10">
      <c r="F292" s="14"/>
      <c r="G292" s="15"/>
      <c r="I292" s="65"/>
      <c r="J292" s="65"/>
    </row>
    <row r="293" spans="6:10">
      <c r="F293" s="14"/>
      <c r="G293" s="15"/>
      <c r="I293" s="65"/>
      <c r="J293" s="65"/>
    </row>
    <row r="294" spans="6:10">
      <c r="F294" s="14"/>
      <c r="G294" s="15"/>
      <c r="I294" s="65"/>
      <c r="J294" s="65"/>
    </row>
    <row r="295" spans="6:10">
      <c r="F295" s="14"/>
      <c r="G295" s="15"/>
      <c r="I295" s="65"/>
      <c r="J295" s="65"/>
    </row>
    <row r="296" spans="6:10">
      <c r="F296" s="14"/>
      <c r="G296" s="15"/>
      <c r="I296" s="65"/>
      <c r="J296" s="65"/>
    </row>
    <row r="297" spans="6:10">
      <c r="F297" s="14"/>
      <c r="G297" s="15"/>
      <c r="I297" s="65"/>
      <c r="J297" s="65"/>
    </row>
    <row r="298" spans="6:10">
      <c r="F298" s="14"/>
      <c r="G298" s="15"/>
      <c r="I298" s="65"/>
      <c r="J298" s="65"/>
    </row>
    <row r="299" spans="6:10">
      <c r="F299" s="14"/>
      <c r="G299" s="15"/>
      <c r="I299" s="65"/>
      <c r="J299" s="65"/>
    </row>
    <row r="300" spans="6:10">
      <c r="F300" s="14"/>
      <c r="G300" s="15"/>
      <c r="I300" s="65"/>
      <c r="J300" s="65"/>
    </row>
    <row r="301" spans="6:10">
      <c r="F301" s="14"/>
      <c r="G301" s="15"/>
      <c r="I301" s="65"/>
      <c r="J301" s="65"/>
    </row>
    <row r="302" spans="6:10">
      <c r="F302" s="14"/>
      <c r="G302" s="15"/>
      <c r="I302" s="65"/>
      <c r="J302" s="65"/>
    </row>
    <row r="303" spans="6:10">
      <c r="F303" s="14"/>
      <c r="G303" s="15"/>
      <c r="I303" s="65"/>
      <c r="J303" s="65"/>
    </row>
    <row r="304" spans="6:10">
      <c r="F304" s="14"/>
      <c r="G304" s="15"/>
      <c r="I304" s="65"/>
      <c r="J304" s="65"/>
    </row>
    <row r="305" spans="6:10">
      <c r="F305" s="14"/>
      <c r="G305" s="15"/>
      <c r="I305" s="65"/>
      <c r="J305" s="65"/>
    </row>
    <row r="306" spans="6:10">
      <c r="F306" s="14"/>
      <c r="G306" s="15"/>
      <c r="I306" s="65"/>
      <c r="J306" s="65"/>
    </row>
    <row r="307" spans="6:10">
      <c r="F307" s="14"/>
      <c r="G307" s="15"/>
      <c r="I307" s="65"/>
      <c r="J307" s="65"/>
    </row>
    <row r="308" spans="6:10">
      <c r="F308" s="14"/>
      <c r="G308" s="15"/>
      <c r="I308" s="65"/>
      <c r="J308" s="65"/>
    </row>
    <row r="309" spans="6:10">
      <c r="F309" s="14"/>
      <c r="G309" s="15"/>
      <c r="I309" s="65"/>
      <c r="J309" s="65"/>
    </row>
    <row r="310" spans="6:10">
      <c r="F310" s="14"/>
      <c r="G310" s="15"/>
      <c r="I310" s="65"/>
      <c r="J310" s="65"/>
    </row>
    <row r="311" spans="6:10">
      <c r="F311" s="14"/>
      <c r="G311" s="15"/>
      <c r="I311" s="65"/>
      <c r="J311" s="65"/>
    </row>
    <row r="312" spans="6:10">
      <c r="F312" s="14"/>
      <c r="G312" s="15"/>
      <c r="I312" s="65"/>
      <c r="J312" s="65"/>
    </row>
    <row r="313" spans="6:10">
      <c r="F313" s="14"/>
      <c r="G313" s="15"/>
      <c r="I313" s="65"/>
      <c r="J313" s="65"/>
    </row>
    <row r="314" spans="6:10">
      <c r="G314" s="15"/>
      <c r="I314" s="65"/>
      <c r="J314" s="65"/>
    </row>
    <row r="315" spans="6:10">
      <c r="G315" s="15"/>
      <c r="I315" s="65"/>
      <c r="J315" s="65"/>
    </row>
    <row r="316" spans="6:10">
      <c r="G316" s="15"/>
      <c r="I316" s="65"/>
      <c r="J316" s="65"/>
    </row>
    <row r="317" spans="6:10">
      <c r="G317" s="15"/>
      <c r="I317" s="65"/>
      <c r="J317" s="65"/>
    </row>
    <row r="318" spans="6:10">
      <c r="G318" s="15"/>
      <c r="I318" s="65"/>
      <c r="J318" s="65"/>
    </row>
    <row r="319" spans="6:10">
      <c r="G319" s="15"/>
      <c r="I319" s="65"/>
      <c r="J319" s="65"/>
    </row>
    <row r="320" spans="6:10">
      <c r="G320" s="15"/>
      <c r="I320" s="65"/>
      <c r="J320" s="65"/>
    </row>
    <row r="321" spans="7:10">
      <c r="G321" s="15"/>
      <c r="I321" s="65"/>
      <c r="J321" s="65"/>
    </row>
    <row r="322" spans="7:10">
      <c r="G322" s="15"/>
      <c r="I322" s="65"/>
      <c r="J322" s="65"/>
    </row>
    <row r="323" spans="7:10">
      <c r="G323" s="15"/>
      <c r="I323" s="65"/>
      <c r="J323" s="65"/>
    </row>
    <row r="324" spans="7:10">
      <c r="G324" s="15"/>
      <c r="I324" s="65"/>
      <c r="J324" s="65"/>
    </row>
    <row r="325" spans="7:10">
      <c r="G325" s="15"/>
      <c r="I325" s="65"/>
      <c r="J325" s="65"/>
    </row>
    <row r="326" spans="7:10">
      <c r="G326" s="15"/>
      <c r="I326" s="65"/>
      <c r="J326" s="65"/>
    </row>
    <row r="327" spans="7:10">
      <c r="G327" s="15"/>
      <c r="I327" s="65"/>
      <c r="J327" s="65"/>
    </row>
    <row r="328" spans="7:10">
      <c r="G328" s="15"/>
      <c r="I328" s="65"/>
      <c r="J328" s="65"/>
    </row>
    <row r="329" spans="7:10">
      <c r="G329" s="15"/>
      <c r="I329" s="65"/>
      <c r="J329" s="65"/>
    </row>
    <row r="330" spans="7:10">
      <c r="G330" s="15"/>
      <c r="I330" s="65"/>
      <c r="J330" s="65"/>
    </row>
  </sheetData>
  <dataConsolidate/>
  <phoneticPr fontId="3" type="noConversion"/>
  <conditionalFormatting sqref="B17:D17">
    <cfRule type="expression" dxfId="0" priority="170">
      <formula>IFERROR(#REF!=#REF!,0)</formula>
    </cfRule>
  </conditionalFormatting>
  <printOptions horizontalCentered="1"/>
  <pageMargins left="0.39370078740157483" right="0.39370078740157483" top="1.1811023622047245" bottom="0.74803149606299213" header="0.31496062992125984" footer="0.31496062992125984"/>
  <pageSetup paperSize="9" scale="61" fitToHeight="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7D7F0AA40EC4BAB40946D1C4DEC5D" ma:contentTypeVersion="8" ma:contentTypeDescription="Create a new document." ma:contentTypeScope="" ma:versionID="71ecaef92001a79918436dc3b4a99330">
  <xsd:schema xmlns:xsd="http://www.w3.org/2001/XMLSchema" xmlns:xs="http://www.w3.org/2001/XMLSchema" xmlns:p="http://schemas.microsoft.com/office/2006/metadata/properties" xmlns:ns3="10181343-71ff-4920-be60-8ea5e5594b59" xmlns:ns4="5c3acf1c-c18d-4e39-95de-6f5d5722f5da" targetNamespace="http://schemas.microsoft.com/office/2006/metadata/properties" ma:root="true" ma:fieldsID="c508f368ba9f314f1d84a89cc1585ad5" ns3:_="" ns4:_="">
    <xsd:import namespace="10181343-71ff-4920-be60-8ea5e5594b59"/>
    <xsd:import namespace="5c3acf1c-c18d-4e39-95de-6f5d5722f5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81343-71ff-4920-be60-8ea5e5594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3acf1c-c18d-4e39-95de-6f5d5722f5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8C1EFE-5D0C-4F17-9B3B-BF21F6B20D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60506-7E9D-4A77-8A85-FB56AB010801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10181343-71ff-4920-be60-8ea5e5594b59"/>
    <ds:schemaRef ds:uri="5c3acf1c-c18d-4e39-95de-6f5d5722f5da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536195-E5FA-451C-8C86-B007D526DC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181343-71ff-4920-be60-8ea5e5594b59"/>
    <ds:schemaRef ds:uri="5c3acf1c-c18d-4e39-95de-6f5d5722f5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Szczegółowe</vt:lpstr>
      <vt:lpstr>Szczegółowe!Obszar_wydruku</vt:lpstr>
      <vt:lpstr>Szczegółowe!Print_Area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Stanko</dc:creator>
  <cp:lastModifiedBy>Grzegorz Lisewski</cp:lastModifiedBy>
  <cp:lastPrinted>2022-09-15T14:10:52Z</cp:lastPrinted>
  <dcterms:created xsi:type="dcterms:W3CDTF">2019-05-27T11:24:05Z</dcterms:created>
  <dcterms:modified xsi:type="dcterms:W3CDTF">2026-05-28T00:17:19Z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0x0101004067D7F0AA40EC4BAB40946D1C4DEC5D</vt:lpwstr>
  </property>
</Properties>
</file>